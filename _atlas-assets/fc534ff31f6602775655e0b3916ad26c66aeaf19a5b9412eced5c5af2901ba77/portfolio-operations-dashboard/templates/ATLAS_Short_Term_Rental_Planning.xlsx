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3ca7c1186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c5e741037049c0"/>
    <x:sheet xmlns:r="http://schemas.openxmlformats.org/officeDocument/2006/relationships" name="Drivers" sheetId="2" r:id="Rde82e54c09364aa7"/>
    <x:sheet xmlns:r="http://schemas.openxmlformats.org/officeDocument/2006/relationships" name="STR Build" sheetId="3" r:id="R588f701029e04775"/>
    <x:sheet xmlns:r="http://schemas.openxmlformats.org/officeDocument/2006/relationships" name="Original Budget" sheetId="4" r:id="R2616d76aa4694cb1"/>
    <x:sheet xmlns:r="http://schemas.openxmlformats.org/officeDocument/2006/relationships" name="Closed Actuals" sheetId="5" r:id="Rb7b9b29e73ef4d49"/>
    <x:sheet xmlns:r="http://schemas.openxmlformats.org/officeDocument/2006/relationships" name="GL Mapping" sheetId="6" r:id="Rbd95bb4b183240a4"/>
    <x:sheet xmlns:r="http://schemas.openxmlformats.org/officeDocument/2006/relationships" name="ATLAS Export" sheetId="7" r:id="R5ae7d76ef8fc4a17"/>
    <x:sheet xmlns:r="http://schemas.openxmlformats.org/officeDocument/2006/relationships" name="Checks" sheetId="8" r:id="R4fd42df1725b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General"/>
    <x:numFmt numFmtId="201" formatCode="mmm-yy"/>
    <x:numFmt numFmtId="202" formatCode="mm/dd/yy"/>
    <x:numFmt numFmtId="203" formatCode="0"/>
    <x:numFmt numFmtId="204" formatCode="#,##0.00;(#,##0.00);&quot;-&quot;"/>
    <x:numFmt numFmtId="205" formatCode="0.0%;(0.0%);&quot;-&quot;"/>
    <x:numFmt numFmtId="206" formatCode="@"/>
    <x:numFmt numFmtId="207" formatCode="yyyy-mm"/>
    <x:numFmt numFmtId="208" formatCode="0.00;(0.00);0.00"/>
  </x:numFmts>
  <x:fonts count="11">
    <x:font>
      <x:sz val="11"/>
      <x:name val="Carlito"/>
    </x:font>
    <x:font>
      <x:sz val="10"/>
      <x:color rgb="FF111111"/>
      <x:name val="Arial"/>
    </x:font>
    <x:font>
      <x:b/>
      <x:sz val="15"/>
      <x:color rgb="FF17384B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7384B"/>
      <x:name val="Arial"/>
    </x:font>
    <x:font>
      <x:sz val="10"/>
      <x:color rgb="FF008000"/>
      <x:name val="Arial"/>
    </x:font>
    <x:font>
      <x:b/>
      <x:sz val="10"/>
      <x:color rgb="FF111111"/>
      <x:name val="Arial"/>
    </x:font>
    <x:font>
      <x:i/>
      <x:sz val="10"/>
      <x:color rgb="FF111111"/>
      <x:name val="Arial"/>
    </x:font>
    <x:font>
      <x:b/>
      <x:sz val="11"/>
      <x:color rgb="FFFFFFFF"/>
      <x:name val="Carlito"/>
    </x:font>
    <x:font>
      <x:b/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17384B"/>
      </x:patternFill>
    </x:fill>
    <x:fill>
      <x:patternFill patternType="solid">
        <x:fgColor rgb="FFEDF2F6"/>
      </x:patternFill>
    </x:fill>
  </x:fills>
  <x:borders count="3">
    <x:border/>
    <x:border>
      <x:bottom style="thin">
        <x:color rgb="FF17384B"/>
      </x:bottom>
    </x:border>
    <x:border>
      <x:top style="thin">
        <x:color rgb="FFADB8C0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202" fontId="3" fillId="2" borderId="0" xfId="0" applyNumberFormat="1" applyFont="1" applyFill="1" applyBorder="1"/>
    <x:xf numFmtId="203" fontId="3" fillId="2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1" fontId="1" fillId="3" borderId="0" xfId="0" applyNumberFormat="1" applyFont="1" applyFill="1" applyBorder="1"/>
    <x:xf numFmtId="201" fontId="4" fillId="3" borderId="0" xfId="0" applyNumberFormat="1" applyFont="1" applyFill="1" applyBorder="1"/>
    <x:xf numFmtId="201" fontId="4" fillId="3" borderId="0" xfId="0" applyNumberFormat="1" applyFont="1" applyFill="1" applyBorder="1" applyAlignment="1">
      <x:alignment horizontal="center"/>
    </x:xf>
    <x:xf numFmtId="204" fontId="3" fillId="2" borderId="0" xfId="0" applyNumberFormat="1" applyFont="1" applyFill="1" applyBorder="1"/>
    <x:xf numFmtId="205" fontId="3" fillId="2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5" fontId="6" fillId="0" borderId="0" xfId="0" applyNumberFormat="1" applyFont="1" applyFill="1" applyBorder="1"/>
    <x:xf numFmtId="205" fontId="1" fillId="0" borderId="0" xfId="0" applyNumberFormat="1" applyFont="1" applyFill="1" applyBorder="1"/>
    <x:xf numFmtId="0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7" fillId="0" borderId="2" xfId="0" applyNumberFormat="1" applyFont="1" applyFill="1" applyBorder="1"/>
    <x:xf numFmtId="204" fontId="7" fillId="0" borderId="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6" fontId="3" fillId="2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5" fontId="8" fillId="0" borderId="0" xfId="0" applyNumberFormat="1" applyFont="1" applyFill="1" applyBorder="1"/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1" fontId="10" fillId="3" borderId="0" xfId="0" applyNumberFormat="1" applyFont="1" applyFill="1" applyBorder="1" applyAlignment="1">
      <x:alignment horizontal="center"/>
    </x:xf>
    <x:xf numFmtId="201" fontId="10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1" fontId="4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/>
    </x:xf>
    <x:xf numFmtId="204" fontId="7" fillId="0" borderId="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0" fillId="2" borderId="0" xfId="0" applyNumberFormat="1" applyFont="1" applyFill="1" applyBorder="1" applyAlignment="1">
      <x:alignment horizontal="center" vertical="center"/>
    </x:xf>
    <x:xf numFmtId="206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207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23195f7b5444f" /><Relationship Type="http://schemas.openxmlformats.org/officeDocument/2006/relationships/theme" Target="/xl/theme/theme1.xml" Id="Re308082b8a374722" /><Relationship Type="http://schemas.openxmlformats.org/officeDocument/2006/relationships/sharedStrings" Target="/xl/sharedStrings.xml" Id="R410481b1bbaa48bf" /><Relationship Type="http://schemas.openxmlformats.org/officeDocument/2006/relationships/worksheet" Target="/xl/worksheets/sheet1.xml" Id="Rf2c5e741037049c0" /><Relationship Type="http://schemas.openxmlformats.org/officeDocument/2006/relationships/worksheet" Target="/xl/worksheets/sheet2.xml" Id="Rde82e54c09364aa7" /><Relationship Type="http://schemas.openxmlformats.org/officeDocument/2006/relationships/worksheet" Target="/xl/worksheets/sheet3.xml" Id="R588f701029e04775" /><Relationship Type="http://schemas.openxmlformats.org/officeDocument/2006/relationships/worksheet" Target="/xl/worksheets/sheet4.xml" Id="R2616d76aa4694cb1" /><Relationship Type="http://schemas.openxmlformats.org/officeDocument/2006/relationships/worksheet" Target="/xl/worksheets/sheet5.xml" Id="Rb7b9b29e73ef4d49" /><Relationship Type="http://schemas.openxmlformats.org/officeDocument/2006/relationships/worksheet" Target="/xl/worksheets/sheet6.xml" Id="Rbd95bb4b183240a4" /><Relationship Type="http://schemas.openxmlformats.org/officeDocument/2006/relationships/worksheet" Target="/xl/worksheets/sheet7.xml" Id="R5ae7d76ef8fc4a17" /><Relationship Type="http://schemas.openxmlformats.org/officeDocument/2006/relationships/worksheet" Target="/xl/worksheets/sheet8.xml" Id="R4fd42df1725b46d8" /></Relationships>
</file>

<file path=xl/tables/table1.xml><?xml version="1.0" encoding="utf-8"?>
<x:table xmlns:x="http://schemas.openxmlformats.org/spreadsheetml/2006/main" id="1" name="ATLASSTRForecast" displayName="ATLASSTRForecast" ref="C6:V270" headerRowCount="1" totalsRowCount="0" totalsRowShown="0">
  <x:tableColumns count="20">
    <x:tableColumn id="1" name="Community ID"/>
    <x:tableColumn id="2" name="Entity"/>
    <x:tableColumn id="3" name="Period"/>
    <x:tableColumn id="4" name="Scenario"/>
    <x:tableColumn id="5" name="GL Account"/>
    <x:tableColumn id="6" name="Account name"/>
    <x:tableColumn id="7" name="Department"/>
    <x:tableColumn id="8" name="Currency"/>
    <x:tableColumn id="9" name="Fiscal calendar"/>
    <x:tableColumn id="10" name="Accounting basis"/>
    <x:tableColumn id="11" name="Last Closed Month"/>
    <x:tableColumn id="12" name="Mapping version"/>
    <x:tableColumn id="13" name="Nature"/>
    <x:tableColumn id="14" name="Statement placement"/>
    <x:tableColumn id="15" name="Sign multiplier"/>
    <x:tableColumn id="16" name="Amount"/>
    <x:tableColumn id="17" name="Source coordinates"/>
    <x:tableColumn id="18" name="Cell role"/>
    <x:tableColumn id="19" name="Value status"/>
    <x:tableColumn id="20" name="Period auth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d728cee189be4038" /></Relationships>
</file>

<file path=xl/worksheets/sheet1.xml><?xml version="1.0" encoding="utf-8"?>
<x:worksheet xmlns:x="http://schemas.openxmlformats.org/spreadsheetml/2006/main">
  <x:sheetPr>
    <x:tabColor rgb="FF17384B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" hidden="0" customWidth="1"/>
    <x:col min="19" max="19" width="58" hidden="0" customWidth="1"/>
  </x:cols>
  <x:sheetData>
    <x:row r="1" ht="22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22" customHeight="1">
      <x:c r="A2" s="42"/>
      <x:c r="B2" s="42"/>
      <x:c r="C2" s="43" t="str">
        <x:v>Short-Term Rental Planning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2"/>
      <x:c r="S2" s="42"/>
      <x:c r="T2" s="42"/>
    </x:row>
    <x:row r="3" ht="22" customHeight="1">
      <x:c r="A3" s="42"/>
      <x:c r="B3" s="42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2"/>
      <x:c r="S3" s="42"/>
      <x:c r="T3" s="42"/>
    </x:row>
    <x:row r="4" ht="22" customHeight="1">
      <x:c r="A4" s="42"/>
      <x:c r="B4" s="42"/>
      <x:c r="C4" s="42" t="str">
        <x:v>Selected scenario</x:v>
      </x:c>
      <x:c r="D4" s="45" t="str">
        <x:f>'Drivers'!D10</x:f>
        <x:v>Working Draft</x:v>
      </x:c>
      <x:c r="E4" s="42"/>
      <x:c r="F4" s="42" t="str">
        <x:v>Currency</x:v>
      </x:c>
      <x:c r="G4" s="42" t="str">
        <x:f>'Drivers'!D8</x:f>
        <x:v>USD</x:v>
      </x:c>
      <x:c r="H4" s="42"/>
      <x:c r="I4" s="42" t="str">
        <x:v>Entity</x:v>
      </x:c>
      <x:c r="J4" s="42" t="str">
        <x:f>IF('Drivers'!D4="","",'Drivers'!D4)</x:f>
      </x:c>
      <x:c r="K4" s="42"/>
      <x:c r="L4" s="42"/>
      <x:c r="M4" s="42"/>
      <x:c r="N4" s="42"/>
      <x:c r="O4" s="42"/>
      <x:c r="P4" s="42"/>
      <x:c r="Q4" s="42"/>
      <x:c r="R4" s="42"/>
      <x:c r="S4" s="42"/>
      <x:c r="T4" s="42"/>
    </x:row>
    <x:row r="5" ht="22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</x:row>
    <x:row r="6" ht="22" customHeight="1">
      <x:c r="A6" s="42"/>
      <x:c r="B6" s="42"/>
      <x:c r="C6" s="46" t="str">
        <x:v>Measure</x:v>
      </x:c>
      <x:c r="D6" s="46" t="str">
        <x:v>Annual</x:v>
      </x:c>
      <x:c r="E6" s="42"/>
      <x:c r="F6" s="47" t="n">
        <x:f>DATE('Drivers'!$D$6,'Drivers'!$D$7+0,1)</x:f>
        <x:v>46388</x:v>
      </x:c>
      <x:c r="G6" s="47" t="n">
        <x:f>DATE('Drivers'!$D$6,'Drivers'!$D$7+1,1)</x:f>
        <x:v>46419</x:v>
      </x:c>
      <x:c r="H6" s="47" t="n">
        <x:f>DATE('Drivers'!$D$6,'Drivers'!$D$7+2,1)</x:f>
        <x:v>46447</x:v>
      </x:c>
      <x:c r="I6" s="47" t="n">
        <x:f>DATE('Drivers'!$D$6,'Drivers'!$D$7+3,1)</x:f>
        <x:v>46478</x:v>
      </x:c>
      <x:c r="J6" s="47" t="n">
        <x:f>DATE('Drivers'!$D$6,'Drivers'!$D$7+4,1)</x:f>
        <x:v>46508</x:v>
      </x:c>
      <x:c r="K6" s="47" t="n">
        <x:f>DATE('Drivers'!$D$6,'Drivers'!$D$7+5,1)</x:f>
        <x:v>46539</x:v>
      </x:c>
      <x:c r="L6" s="47" t="n">
        <x:f>DATE('Drivers'!$D$6,'Drivers'!$D$7+6,1)</x:f>
        <x:v>46569</x:v>
      </x:c>
      <x:c r="M6" s="47" t="n">
        <x:f>DATE('Drivers'!$D$6,'Drivers'!$D$7+7,1)</x:f>
        <x:v>46600</x:v>
      </x:c>
      <x:c r="N6" s="47" t="n">
        <x:f>DATE('Drivers'!$D$6,'Drivers'!$D$7+8,1)</x:f>
        <x:v>46631</x:v>
      </x:c>
      <x:c r="O6" s="47" t="n">
        <x:f>DATE('Drivers'!$D$6,'Drivers'!$D$7+9,1)</x:f>
        <x:v>46661</x:v>
      </x:c>
      <x:c r="P6" s="47" t="n">
        <x:f>DATE('Drivers'!$D$6,'Drivers'!$D$7+10,1)</x:f>
        <x:v>46692</x:v>
      </x:c>
      <x:c r="Q6" s="47" t="n">
        <x:f>DATE('Drivers'!$D$6,'Drivers'!$D$7+11,1)</x:f>
        <x:v>46722</x:v>
      </x:c>
      <x:c r="R6" s="42"/>
      <x:c r="S6" s="42"/>
      <x:c r="T6" s="42"/>
    </x:row>
    <x:row r="7" ht="22" customHeight="1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</x:row>
    <x:row r="8" ht="34" customHeight="1">
      <x:c r="A8" s="42"/>
      <x:c r="B8" s="42"/>
      <x:c r="C8" s="42" t="str">
        <x:v>Reporting basis</x:v>
      </x:c>
      <x:c r="D8" s="42"/>
      <x:c r="E8" s="42"/>
      <x:c r="F8" s="48" t="str">
        <x:f>IF(AND(ISNUMBER('Drivers'!$D$12),F$6&lt;='Drivers'!$D$12),IF(AND('Closed Actuals'!F$6=F$6,'Closed Actuals'!F7&lt;&gt;"",'Closed Actuals'!F8&lt;&gt;"",'Closed Actuals'!F9&lt;&gt;"",COUNT('Closed Actuals'!F12:F33)=22),"Closed evidence","Missing close evidence"),"Working forecast")</x:f>
        <x:v>Working forecast</x:v>
      </x:c>
      <x:c r="G8" s="48" t="str">
        <x:f>IF(AND(ISNUMBER('Drivers'!$D$12),G$6&lt;='Drivers'!$D$12),IF(AND('Closed Actuals'!G$6=G$6,'Closed Actuals'!G7&lt;&gt;"",'Closed Actuals'!G8&lt;&gt;"",'Closed Actuals'!G9&lt;&gt;"",COUNT('Closed Actuals'!G12:G33)=22),"Closed evidence","Missing close evidence"),"Working forecast")</x:f>
        <x:v>Working forecast</x:v>
      </x:c>
      <x:c r="H8" s="48" t="str">
        <x:f>IF(AND(ISNUMBER('Drivers'!$D$12),H$6&lt;='Drivers'!$D$12),IF(AND('Closed Actuals'!H$6=H$6,'Closed Actuals'!H7&lt;&gt;"",'Closed Actuals'!H8&lt;&gt;"",'Closed Actuals'!H9&lt;&gt;"",COUNT('Closed Actuals'!H12:H33)=22),"Closed evidence","Missing close evidence"),"Working forecast")</x:f>
        <x:v>Working forecast</x:v>
      </x:c>
      <x:c r="I8" s="48" t="str">
        <x:f>IF(AND(ISNUMBER('Drivers'!$D$12),I$6&lt;='Drivers'!$D$12),IF(AND('Closed Actuals'!I$6=I$6,'Closed Actuals'!I7&lt;&gt;"",'Closed Actuals'!I8&lt;&gt;"",'Closed Actuals'!I9&lt;&gt;"",COUNT('Closed Actuals'!I12:I33)=22),"Closed evidence","Missing close evidence"),"Working forecast")</x:f>
        <x:v>Working forecast</x:v>
      </x:c>
      <x:c r="J8" s="48" t="str">
        <x:f>IF(AND(ISNUMBER('Drivers'!$D$12),J$6&lt;='Drivers'!$D$12),IF(AND('Closed Actuals'!J$6=J$6,'Closed Actuals'!J7&lt;&gt;"",'Closed Actuals'!J8&lt;&gt;"",'Closed Actuals'!J9&lt;&gt;"",COUNT('Closed Actuals'!J12:J33)=22),"Closed evidence","Missing close evidence"),"Working forecast")</x:f>
        <x:v>Working forecast</x:v>
      </x:c>
      <x:c r="K8" s="48" t="str">
        <x:f>IF(AND(ISNUMBER('Drivers'!$D$12),K$6&lt;='Drivers'!$D$12),IF(AND('Closed Actuals'!K$6=K$6,'Closed Actuals'!K7&lt;&gt;"",'Closed Actuals'!K8&lt;&gt;"",'Closed Actuals'!K9&lt;&gt;"",COUNT('Closed Actuals'!K12:K33)=22),"Closed evidence","Missing close evidence"),"Working forecast")</x:f>
        <x:v>Working forecast</x:v>
      </x:c>
      <x:c r="L8" s="48" t="str">
        <x:f>IF(AND(ISNUMBER('Drivers'!$D$12),L$6&lt;='Drivers'!$D$12),IF(AND('Closed Actuals'!L$6=L$6,'Closed Actuals'!L7&lt;&gt;"",'Closed Actuals'!L8&lt;&gt;"",'Closed Actuals'!L9&lt;&gt;"",COUNT('Closed Actuals'!L12:L33)=22),"Closed evidence","Missing close evidence"),"Working forecast")</x:f>
        <x:v>Working forecast</x:v>
      </x:c>
      <x:c r="M8" s="48" t="str">
        <x:f>IF(AND(ISNUMBER('Drivers'!$D$12),M$6&lt;='Drivers'!$D$12),IF(AND('Closed Actuals'!M$6=M$6,'Closed Actuals'!M7&lt;&gt;"",'Closed Actuals'!M8&lt;&gt;"",'Closed Actuals'!M9&lt;&gt;"",COUNT('Closed Actuals'!M12:M33)=22),"Closed evidence","Missing close evidence"),"Working forecast")</x:f>
        <x:v>Working forecast</x:v>
      </x:c>
      <x:c r="N8" s="48" t="str">
        <x:f>IF(AND(ISNUMBER('Drivers'!$D$12),N$6&lt;='Drivers'!$D$12),IF(AND('Closed Actuals'!N$6=N$6,'Closed Actuals'!N7&lt;&gt;"",'Closed Actuals'!N8&lt;&gt;"",'Closed Actuals'!N9&lt;&gt;"",COUNT('Closed Actuals'!N12:N33)=22),"Closed evidence","Missing close evidence"),"Working forecast")</x:f>
        <x:v>Working forecast</x:v>
      </x:c>
      <x:c r="O8" s="48" t="str">
        <x:f>IF(AND(ISNUMBER('Drivers'!$D$12),O$6&lt;='Drivers'!$D$12),IF(AND('Closed Actuals'!O$6=O$6,'Closed Actuals'!O7&lt;&gt;"",'Closed Actuals'!O8&lt;&gt;"",'Closed Actuals'!O9&lt;&gt;"",COUNT('Closed Actuals'!O12:O33)=22),"Closed evidence","Missing close evidence"),"Working forecast")</x:f>
        <x:v>Working forecast</x:v>
      </x:c>
      <x:c r="P8" s="48" t="str">
        <x:f>IF(AND(ISNUMBER('Drivers'!$D$12),P$6&lt;='Drivers'!$D$12),IF(AND('Closed Actuals'!P$6=P$6,'Closed Actuals'!P7&lt;&gt;"",'Closed Actuals'!P8&lt;&gt;"",'Closed Actuals'!P9&lt;&gt;"",COUNT('Closed Actuals'!P12:P33)=22),"Closed evidence","Missing close evidence"),"Working forecast")</x:f>
        <x:v>Working forecast</x:v>
      </x:c>
      <x:c r="Q8" s="48" t="str">
        <x:f>IF(AND(ISNUMBER('Drivers'!$D$12),Q$6&lt;='Drivers'!$D$12),IF(AND('Closed Actuals'!Q$6=Q$6,'Closed Actuals'!Q7&lt;&gt;"",'Closed Actuals'!Q8&lt;&gt;"",'Closed Actuals'!Q9&lt;&gt;"",COUNT('Closed Actuals'!Q12:Q33)=22),"Closed evidence","Missing close evidence"),"Working forecast")</x:f>
        <x:v>Working forecast</x:v>
      </x:c>
      <x:c r="R8" s="42"/>
      <x:c r="S8" s="42"/>
      <x:c r="T8" s="42"/>
    </x:row>
    <x:row r="9" ht="22" customHeight="1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</x:row>
    <x:row r="10" ht="22" customHeight="1">
      <x:c r="A10" s="42"/>
      <x:c r="B10" s="42"/>
      <x:c r="C10" s="49" t="str">
        <x:v>Effective revenue</x:v>
      </x:c>
      <x:c r="D10" s="50" t="str">
        <x:f>IF(COUNT(F10:Q10)=12,SUM(F10:Q10),"")</x:f>
      </x:c>
      <x:c r="E10" s="50"/>
      <x:c r="F10" s="50" t="str">
        <x:f>IF(AND(ISNUMBER('Drivers'!$D$12),F$6&lt;='Drivers'!$D$12),IF(AND('Closed Actuals'!F$6=F$6,'Closed Actuals'!F7&lt;&gt;"",'Closed Actuals'!F8&lt;&gt;"",'Closed Actuals'!F9&lt;&gt;"",COUNT('Closed Actuals'!F12:F33)=22),SUM('Closed Actuals'!F12:F16),""),IF(ISNUMBER('STR Build'!F34),'STR Build'!F34,""))</x:f>
      </x:c>
      <x:c r="G10" s="50" t="str">
        <x:f>IF(AND(ISNUMBER('Drivers'!$D$12),G$6&lt;='Drivers'!$D$12),IF(AND('Closed Actuals'!G$6=G$6,'Closed Actuals'!G7&lt;&gt;"",'Closed Actuals'!G8&lt;&gt;"",'Closed Actuals'!G9&lt;&gt;"",COUNT('Closed Actuals'!G12:G33)=22),SUM('Closed Actuals'!G12:G16),""),IF(ISNUMBER('STR Build'!G34),'STR Build'!G34,""))</x:f>
      </x:c>
      <x:c r="H10" s="50" t="str">
        <x:f>IF(AND(ISNUMBER('Drivers'!$D$12),H$6&lt;='Drivers'!$D$12),IF(AND('Closed Actuals'!H$6=H$6,'Closed Actuals'!H7&lt;&gt;"",'Closed Actuals'!H8&lt;&gt;"",'Closed Actuals'!H9&lt;&gt;"",COUNT('Closed Actuals'!H12:H33)=22),SUM('Closed Actuals'!H12:H16),""),IF(ISNUMBER('STR Build'!H34),'STR Build'!H34,""))</x:f>
      </x:c>
      <x:c r="I10" s="50" t="str">
        <x:f>IF(AND(ISNUMBER('Drivers'!$D$12),I$6&lt;='Drivers'!$D$12),IF(AND('Closed Actuals'!I$6=I$6,'Closed Actuals'!I7&lt;&gt;"",'Closed Actuals'!I8&lt;&gt;"",'Closed Actuals'!I9&lt;&gt;"",COUNT('Closed Actuals'!I12:I33)=22),SUM('Closed Actuals'!I12:I16),""),IF(ISNUMBER('STR Build'!I34),'STR Build'!I34,""))</x:f>
      </x:c>
      <x:c r="J10" s="50" t="str">
        <x:f>IF(AND(ISNUMBER('Drivers'!$D$12),J$6&lt;='Drivers'!$D$12),IF(AND('Closed Actuals'!J$6=J$6,'Closed Actuals'!J7&lt;&gt;"",'Closed Actuals'!J8&lt;&gt;"",'Closed Actuals'!J9&lt;&gt;"",COUNT('Closed Actuals'!J12:J33)=22),SUM('Closed Actuals'!J12:J16),""),IF(ISNUMBER('STR Build'!J34),'STR Build'!J34,""))</x:f>
      </x:c>
      <x:c r="K10" s="50" t="str">
        <x:f>IF(AND(ISNUMBER('Drivers'!$D$12),K$6&lt;='Drivers'!$D$12),IF(AND('Closed Actuals'!K$6=K$6,'Closed Actuals'!K7&lt;&gt;"",'Closed Actuals'!K8&lt;&gt;"",'Closed Actuals'!K9&lt;&gt;"",COUNT('Closed Actuals'!K12:K33)=22),SUM('Closed Actuals'!K12:K16),""),IF(ISNUMBER('STR Build'!K34),'STR Build'!K34,""))</x:f>
      </x:c>
      <x:c r="L10" s="50" t="str">
        <x:f>IF(AND(ISNUMBER('Drivers'!$D$12),L$6&lt;='Drivers'!$D$12),IF(AND('Closed Actuals'!L$6=L$6,'Closed Actuals'!L7&lt;&gt;"",'Closed Actuals'!L8&lt;&gt;"",'Closed Actuals'!L9&lt;&gt;"",COUNT('Closed Actuals'!L12:L33)=22),SUM('Closed Actuals'!L12:L16),""),IF(ISNUMBER('STR Build'!L34),'STR Build'!L34,""))</x:f>
      </x:c>
      <x:c r="M10" s="50" t="str">
        <x:f>IF(AND(ISNUMBER('Drivers'!$D$12),M$6&lt;='Drivers'!$D$12),IF(AND('Closed Actuals'!M$6=M$6,'Closed Actuals'!M7&lt;&gt;"",'Closed Actuals'!M8&lt;&gt;"",'Closed Actuals'!M9&lt;&gt;"",COUNT('Closed Actuals'!M12:M33)=22),SUM('Closed Actuals'!M12:M16),""),IF(ISNUMBER('STR Build'!M34),'STR Build'!M34,""))</x:f>
      </x:c>
      <x:c r="N10" s="50" t="str">
        <x:f>IF(AND(ISNUMBER('Drivers'!$D$12),N$6&lt;='Drivers'!$D$12),IF(AND('Closed Actuals'!N$6=N$6,'Closed Actuals'!N7&lt;&gt;"",'Closed Actuals'!N8&lt;&gt;"",'Closed Actuals'!N9&lt;&gt;"",COUNT('Closed Actuals'!N12:N33)=22),SUM('Closed Actuals'!N12:N16),""),IF(ISNUMBER('STR Build'!N34),'STR Build'!N34,""))</x:f>
      </x:c>
      <x:c r="O10" s="50" t="str">
        <x:f>IF(AND(ISNUMBER('Drivers'!$D$12),O$6&lt;='Drivers'!$D$12),IF(AND('Closed Actuals'!O$6=O$6,'Closed Actuals'!O7&lt;&gt;"",'Closed Actuals'!O8&lt;&gt;"",'Closed Actuals'!O9&lt;&gt;"",COUNT('Closed Actuals'!O12:O33)=22),SUM('Closed Actuals'!O12:O16),""),IF(ISNUMBER('STR Build'!O34),'STR Build'!O34,""))</x:f>
      </x:c>
      <x:c r="P10" s="50" t="str">
        <x:f>IF(AND(ISNUMBER('Drivers'!$D$12),P$6&lt;='Drivers'!$D$12),IF(AND('Closed Actuals'!P$6=P$6,'Closed Actuals'!P7&lt;&gt;"",'Closed Actuals'!P8&lt;&gt;"",'Closed Actuals'!P9&lt;&gt;"",COUNT('Closed Actuals'!P12:P33)=22),SUM('Closed Actuals'!P12:P16),""),IF(ISNUMBER('STR Build'!P34),'STR Build'!P34,""))</x:f>
      </x:c>
      <x:c r="Q10" s="50" t="str">
        <x:f>IF(AND(ISNUMBER('Drivers'!$D$12),Q$6&lt;='Drivers'!$D$12),IF(AND('Closed Actuals'!Q$6=Q$6,'Closed Actuals'!Q7&lt;&gt;"",'Closed Actuals'!Q8&lt;&gt;"",'Closed Actuals'!Q9&lt;&gt;"",COUNT('Closed Actuals'!Q12:Q33)=22),SUM('Closed Actuals'!Q12:Q16),""),IF(ISNUMBER('STR Build'!Q34),'STR Build'!Q34,""))</x:f>
      </x:c>
      <x:c r="R10" s="42"/>
      <x:c r="S10" s="42"/>
      <x:c r="T10" s="42"/>
    </x:row>
    <x:row r="11" ht="22" customHeight="1">
      <x:c r="A11" s="42"/>
      <x:c r="B11" s="42"/>
      <x:c r="C11" s="42" t="str">
        <x:v>Operating expenses</x:v>
      </x:c>
      <x:c r="D11" s="51" t="str">
        <x:f>IF(COUNT(F11:Q11)=12,SUM(F11:Q11),"")</x:f>
      </x:c>
      <x:c r="E11" s="51"/>
      <x:c r="F11" s="51" t="str">
        <x:f>IF(AND(ISNUMBER('Drivers'!$D$12),F$6&lt;='Drivers'!$D$12),IF(AND('Closed Actuals'!F$6=F$6,'Closed Actuals'!F7&lt;&gt;"",'Closed Actuals'!F8&lt;&gt;"",'Closed Actuals'!F9&lt;&gt;"",COUNT('Closed Actuals'!F12:F33)=22),SUM('Closed Actuals'!F17:F28),""),IF(ISNUMBER('STR Build'!F50),'STR Build'!F50,""))</x:f>
      </x:c>
      <x:c r="G11" s="51" t="str">
        <x:f>IF(AND(ISNUMBER('Drivers'!$D$12),G$6&lt;='Drivers'!$D$12),IF(AND('Closed Actuals'!G$6=G$6,'Closed Actuals'!G7&lt;&gt;"",'Closed Actuals'!G8&lt;&gt;"",'Closed Actuals'!G9&lt;&gt;"",COUNT('Closed Actuals'!G12:G33)=22),SUM('Closed Actuals'!G17:G28),""),IF(ISNUMBER('STR Build'!G50),'STR Build'!G50,""))</x:f>
      </x:c>
      <x:c r="H11" s="51" t="str">
        <x:f>IF(AND(ISNUMBER('Drivers'!$D$12),H$6&lt;='Drivers'!$D$12),IF(AND('Closed Actuals'!H$6=H$6,'Closed Actuals'!H7&lt;&gt;"",'Closed Actuals'!H8&lt;&gt;"",'Closed Actuals'!H9&lt;&gt;"",COUNT('Closed Actuals'!H12:H33)=22),SUM('Closed Actuals'!H17:H28),""),IF(ISNUMBER('STR Build'!H50),'STR Build'!H50,""))</x:f>
      </x:c>
      <x:c r="I11" s="51" t="str">
        <x:f>IF(AND(ISNUMBER('Drivers'!$D$12),I$6&lt;='Drivers'!$D$12),IF(AND('Closed Actuals'!I$6=I$6,'Closed Actuals'!I7&lt;&gt;"",'Closed Actuals'!I8&lt;&gt;"",'Closed Actuals'!I9&lt;&gt;"",COUNT('Closed Actuals'!I12:I33)=22),SUM('Closed Actuals'!I17:I28),""),IF(ISNUMBER('STR Build'!I50),'STR Build'!I50,""))</x:f>
      </x:c>
      <x:c r="J11" s="51" t="str">
        <x:f>IF(AND(ISNUMBER('Drivers'!$D$12),J$6&lt;='Drivers'!$D$12),IF(AND('Closed Actuals'!J$6=J$6,'Closed Actuals'!J7&lt;&gt;"",'Closed Actuals'!J8&lt;&gt;"",'Closed Actuals'!J9&lt;&gt;"",COUNT('Closed Actuals'!J12:J33)=22),SUM('Closed Actuals'!J17:J28),""),IF(ISNUMBER('STR Build'!J50),'STR Build'!J50,""))</x:f>
      </x:c>
      <x:c r="K11" s="51" t="str">
        <x:f>IF(AND(ISNUMBER('Drivers'!$D$12),K$6&lt;='Drivers'!$D$12),IF(AND('Closed Actuals'!K$6=K$6,'Closed Actuals'!K7&lt;&gt;"",'Closed Actuals'!K8&lt;&gt;"",'Closed Actuals'!K9&lt;&gt;"",COUNT('Closed Actuals'!K12:K33)=22),SUM('Closed Actuals'!K17:K28),""),IF(ISNUMBER('STR Build'!K50),'STR Build'!K50,""))</x:f>
      </x:c>
      <x:c r="L11" s="51" t="str">
        <x:f>IF(AND(ISNUMBER('Drivers'!$D$12),L$6&lt;='Drivers'!$D$12),IF(AND('Closed Actuals'!L$6=L$6,'Closed Actuals'!L7&lt;&gt;"",'Closed Actuals'!L8&lt;&gt;"",'Closed Actuals'!L9&lt;&gt;"",COUNT('Closed Actuals'!L12:L33)=22),SUM('Closed Actuals'!L17:L28),""),IF(ISNUMBER('STR Build'!L50),'STR Build'!L50,""))</x:f>
      </x:c>
      <x:c r="M11" s="51" t="str">
        <x:f>IF(AND(ISNUMBER('Drivers'!$D$12),M$6&lt;='Drivers'!$D$12),IF(AND('Closed Actuals'!M$6=M$6,'Closed Actuals'!M7&lt;&gt;"",'Closed Actuals'!M8&lt;&gt;"",'Closed Actuals'!M9&lt;&gt;"",COUNT('Closed Actuals'!M12:M33)=22),SUM('Closed Actuals'!M17:M28),""),IF(ISNUMBER('STR Build'!M50),'STR Build'!M50,""))</x:f>
      </x:c>
      <x:c r="N11" s="51" t="str">
        <x:f>IF(AND(ISNUMBER('Drivers'!$D$12),N$6&lt;='Drivers'!$D$12),IF(AND('Closed Actuals'!N$6=N$6,'Closed Actuals'!N7&lt;&gt;"",'Closed Actuals'!N8&lt;&gt;"",'Closed Actuals'!N9&lt;&gt;"",COUNT('Closed Actuals'!N12:N33)=22),SUM('Closed Actuals'!N17:N28),""),IF(ISNUMBER('STR Build'!N50),'STR Build'!N50,""))</x:f>
      </x:c>
      <x:c r="O11" s="51" t="str">
        <x:f>IF(AND(ISNUMBER('Drivers'!$D$12),O$6&lt;='Drivers'!$D$12),IF(AND('Closed Actuals'!O$6=O$6,'Closed Actuals'!O7&lt;&gt;"",'Closed Actuals'!O8&lt;&gt;"",'Closed Actuals'!O9&lt;&gt;"",COUNT('Closed Actuals'!O12:O33)=22),SUM('Closed Actuals'!O17:O28),""),IF(ISNUMBER('STR Build'!O50),'STR Build'!O50,""))</x:f>
      </x:c>
      <x:c r="P11" s="51" t="str">
        <x:f>IF(AND(ISNUMBER('Drivers'!$D$12),P$6&lt;='Drivers'!$D$12),IF(AND('Closed Actuals'!P$6=P$6,'Closed Actuals'!P7&lt;&gt;"",'Closed Actuals'!P8&lt;&gt;"",'Closed Actuals'!P9&lt;&gt;"",COUNT('Closed Actuals'!P12:P33)=22),SUM('Closed Actuals'!P17:P28),""),IF(ISNUMBER('STR Build'!P50),'STR Build'!P50,""))</x:f>
      </x:c>
      <x:c r="Q11" s="51" t="str">
        <x:f>IF(AND(ISNUMBER('Drivers'!$D$12),Q$6&lt;='Drivers'!$D$12),IF(AND('Closed Actuals'!Q$6=Q$6,'Closed Actuals'!Q7&lt;&gt;"",'Closed Actuals'!Q8&lt;&gt;"",'Closed Actuals'!Q9&lt;&gt;"",COUNT('Closed Actuals'!Q12:Q33)=22),SUM('Closed Actuals'!Q17:Q28),""),IF(ISNUMBER('STR Build'!Q50),'STR Build'!Q50,""))</x:f>
      </x:c>
      <x:c r="R11" s="42"/>
      <x:c r="S11" s="42"/>
      <x:c r="T11" s="42"/>
    </x:row>
    <x:row r="12" ht="22" customHeight="1">
      <x:c r="A12" s="42"/>
      <x:c r="B12" s="42"/>
      <x:c r="C12" s="49" t="str">
        <x:v>Net operating income</x:v>
      </x:c>
      <x:c r="D12" s="50" t="str">
        <x:f>IF(COUNT(F12:Q12)=12,SUM(F12:Q12),"")</x:f>
      </x:c>
      <x:c r="E12" s="50"/>
      <x:c r="F12" s="50" t="str">
        <x:f>IF(AND(ISNUMBER('Drivers'!$D$12),F$6&lt;='Drivers'!$D$12),IF(AND('Closed Actuals'!F$6=F$6,'Closed Actuals'!F7&lt;&gt;"",'Closed Actuals'!F8&lt;&gt;"",'Closed Actuals'!F9&lt;&gt;"",COUNT('Closed Actuals'!F12:F33)=22),(SUM('Closed Actuals'!F12:F16)-SUM('Closed Actuals'!F17:F28)),""),IF(ISNUMBER('STR Build'!F52),'STR Build'!F52,""))</x:f>
      </x:c>
      <x:c r="G12" s="50" t="str">
        <x:f>IF(AND(ISNUMBER('Drivers'!$D$12),G$6&lt;='Drivers'!$D$12),IF(AND('Closed Actuals'!G$6=G$6,'Closed Actuals'!G7&lt;&gt;"",'Closed Actuals'!G8&lt;&gt;"",'Closed Actuals'!G9&lt;&gt;"",COUNT('Closed Actuals'!G12:G33)=22),(SUM('Closed Actuals'!G12:G16)-SUM('Closed Actuals'!G17:G28)),""),IF(ISNUMBER('STR Build'!G52),'STR Build'!G52,""))</x:f>
      </x:c>
      <x:c r="H12" s="50" t="str">
        <x:f>IF(AND(ISNUMBER('Drivers'!$D$12),H$6&lt;='Drivers'!$D$12),IF(AND('Closed Actuals'!H$6=H$6,'Closed Actuals'!H7&lt;&gt;"",'Closed Actuals'!H8&lt;&gt;"",'Closed Actuals'!H9&lt;&gt;"",COUNT('Closed Actuals'!H12:H33)=22),(SUM('Closed Actuals'!H12:H16)-SUM('Closed Actuals'!H17:H28)),""),IF(ISNUMBER('STR Build'!H52),'STR Build'!H52,""))</x:f>
      </x:c>
      <x:c r="I12" s="50" t="str">
        <x:f>IF(AND(ISNUMBER('Drivers'!$D$12),I$6&lt;='Drivers'!$D$12),IF(AND('Closed Actuals'!I$6=I$6,'Closed Actuals'!I7&lt;&gt;"",'Closed Actuals'!I8&lt;&gt;"",'Closed Actuals'!I9&lt;&gt;"",COUNT('Closed Actuals'!I12:I33)=22),(SUM('Closed Actuals'!I12:I16)-SUM('Closed Actuals'!I17:I28)),""),IF(ISNUMBER('STR Build'!I52),'STR Build'!I52,""))</x:f>
      </x:c>
      <x:c r="J12" s="50" t="str">
        <x:f>IF(AND(ISNUMBER('Drivers'!$D$12),J$6&lt;='Drivers'!$D$12),IF(AND('Closed Actuals'!J$6=J$6,'Closed Actuals'!J7&lt;&gt;"",'Closed Actuals'!J8&lt;&gt;"",'Closed Actuals'!J9&lt;&gt;"",COUNT('Closed Actuals'!J12:J33)=22),(SUM('Closed Actuals'!J12:J16)-SUM('Closed Actuals'!J17:J28)),""),IF(ISNUMBER('STR Build'!J52),'STR Build'!J52,""))</x:f>
      </x:c>
      <x:c r="K12" s="50" t="str">
        <x:f>IF(AND(ISNUMBER('Drivers'!$D$12),K$6&lt;='Drivers'!$D$12),IF(AND('Closed Actuals'!K$6=K$6,'Closed Actuals'!K7&lt;&gt;"",'Closed Actuals'!K8&lt;&gt;"",'Closed Actuals'!K9&lt;&gt;"",COUNT('Closed Actuals'!K12:K33)=22),(SUM('Closed Actuals'!K12:K16)-SUM('Closed Actuals'!K17:K28)),""),IF(ISNUMBER('STR Build'!K52),'STR Build'!K52,""))</x:f>
      </x:c>
      <x:c r="L12" s="50" t="str">
        <x:f>IF(AND(ISNUMBER('Drivers'!$D$12),L$6&lt;='Drivers'!$D$12),IF(AND('Closed Actuals'!L$6=L$6,'Closed Actuals'!L7&lt;&gt;"",'Closed Actuals'!L8&lt;&gt;"",'Closed Actuals'!L9&lt;&gt;"",COUNT('Closed Actuals'!L12:L33)=22),(SUM('Closed Actuals'!L12:L16)-SUM('Closed Actuals'!L17:L28)),""),IF(ISNUMBER('STR Build'!L52),'STR Build'!L52,""))</x:f>
      </x:c>
      <x:c r="M12" s="50" t="str">
        <x:f>IF(AND(ISNUMBER('Drivers'!$D$12),M$6&lt;='Drivers'!$D$12),IF(AND('Closed Actuals'!M$6=M$6,'Closed Actuals'!M7&lt;&gt;"",'Closed Actuals'!M8&lt;&gt;"",'Closed Actuals'!M9&lt;&gt;"",COUNT('Closed Actuals'!M12:M33)=22),(SUM('Closed Actuals'!M12:M16)-SUM('Closed Actuals'!M17:M28)),""),IF(ISNUMBER('STR Build'!M52),'STR Build'!M52,""))</x:f>
      </x:c>
      <x:c r="N12" s="50" t="str">
        <x:f>IF(AND(ISNUMBER('Drivers'!$D$12),N$6&lt;='Drivers'!$D$12),IF(AND('Closed Actuals'!N$6=N$6,'Closed Actuals'!N7&lt;&gt;"",'Closed Actuals'!N8&lt;&gt;"",'Closed Actuals'!N9&lt;&gt;"",COUNT('Closed Actuals'!N12:N33)=22),(SUM('Closed Actuals'!N12:N16)-SUM('Closed Actuals'!N17:N28)),""),IF(ISNUMBER('STR Build'!N52),'STR Build'!N52,""))</x:f>
      </x:c>
      <x:c r="O12" s="50" t="str">
        <x:f>IF(AND(ISNUMBER('Drivers'!$D$12),O$6&lt;='Drivers'!$D$12),IF(AND('Closed Actuals'!O$6=O$6,'Closed Actuals'!O7&lt;&gt;"",'Closed Actuals'!O8&lt;&gt;"",'Closed Actuals'!O9&lt;&gt;"",COUNT('Closed Actuals'!O12:O33)=22),(SUM('Closed Actuals'!O12:O16)-SUM('Closed Actuals'!O17:O28)),""),IF(ISNUMBER('STR Build'!O52),'STR Build'!O52,""))</x:f>
      </x:c>
      <x:c r="P12" s="50" t="str">
        <x:f>IF(AND(ISNUMBER('Drivers'!$D$12),P$6&lt;='Drivers'!$D$12),IF(AND('Closed Actuals'!P$6=P$6,'Closed Actuals'!P7&lt;&gt;"",'Closed Actuals'!P8&lt;&gt;"",'Closed Actuals'!P9&lt;&gt;"",COUNT('Closed Actuals'!P12:P33)=22),(SUM('Closed Actuals'!P12:P16)-SUM('Closed Actuals'!P17:P28)),""),IF(ISNUMBER('STR Build'!P52),'STR Build'!P52,""))</x:f>
      </x:c>
      <x:c r="Q12" s="50" t="str">
        <x:f>IF(AND(ISNUMBER('Drivers'!$D$12),Q$6&lt;='Drivers'!$D$12),IF(AND('Closed Actuals'!Q$6=Q$6,'Closed Actuals'!Q7&lt;&gt;"",'Closed Actuals'!Q8&lt;&gt;"",'Closed Actuals'!Q9&lt;&gt;"",COUNT('Closed Actuals'!Q12:Q33)=22),(SUM('Closed Actuals'!Q12:Q16)-SUM('Closed Actuals'!Q17:Q28)),""),IF(ISNUMBER('STR Build'!Q52),'STR Build'!Q52,""))</x:f>
      </x:c>
      <x:c r="R12" s="42"/>
      <x:c r="S12" s="42"/>
      <x:c r="T12" s="42"/>
    </x:row>
    <x:row r="13" ht="22" customHeight="1">
      <x:c r="A13" s="42"/>
      <x:c r="B13" s="42"/>
      <x:c r="C13" s="52" t="str">
        <x:v>NOI margin</x:v>
      </x:c>
      <x:c r="D13" s="53" t="str">
        <x:f>IF(AND(ISNUMBER(D12),ISNUMBER(D10),D10&lt;&gt;0),D12/D10,"")</x:f>
      </x:c>
      <x:c r="E13" s="53"/>
      <x:c r="F13" s="53" t="str">
        <x:f>IF(AND(ISNUMBER('Drivers'!$D$12),F$6&lt;='Drivers'!$D$12),IF(AND('Closed Actuals'!F$6=F$6,'Closed Actuals'!F7&lt;&gt;"",'Closed Actuals'!F8&lt;&gt;"",'Closed Actuals'!F9&lt;&gt;"",COUNT('Closed Actuals'!F12:F33)=22),IF(SUM('Closed Actuals'!F12:F16)&lt;&gt;0,(SUM('Closed Actuals'!F12:F16)-SUM('Closed Actuals'!F17:F28))/SUM('Closed Actuals'!F12:F16),""),""),IF(ISNUMBER('STR Build'!F53),'STR Build'!F53,""))</x:f>
      </x:c>
      <x:c r="G13" s="53" t="str">
        <x:f>IF(AND(ISNUMBER('Drivers'!$D$12),G$6&lt;='Drivers'!$D$12),IF(AND('Closed Actuals'!G$6=G$6,'Closed Actuals'!G7&lt;&gt;"",'Closed Actuals'!G8&lt;&gt;"",'Closed Actuals'!G9&lt;&gt;"",COUNT('Closed Actuals'!G12:G33)=22),IF(SUM('Closed Actuals'!G12:G16)&lt;&gt;0,(SUM('Closed Actuals'!G12:G16)-SUM('Closed Actuals'!G17:G28))/SUM('Closed Actuals'!G12:G16),""),""),IF(ISNUMBER('STR Build'!G53),'STR Build'!G53,""))</x:f>
      </x:c>
      <x:c r="H13" s="53" t="str">
        <x:f>IF(AND(ISNUMBER('Drivers'!$D$12),H$6&lt;='Drivers'!$D$12),IF(AND('Closed Actuals'!H$6=H$6,'Closed Actuals'!H7&lt;&gt;"",'Closed Actuals'!H8&lt;&gt;"",'Closed Actuals'!H9&lt;&gt;"",COUNT('Closed Actuals'!H12:H33)=22),IF(SUM('Closed Actuals'!H12:H16)&lt;&gt;0,(SUM('Closed Actuals'!H12:H16)-SUM('Closed Actuals'!H17:H28))/SUM('Closed Actuals'!H12:H16),""),""),IF(ISNUMBER('STR Build'!H53),'STR Build'!H53,""))</x:f>
      </x:c>
      <x:c r="I13" s="53" t="str">
        <x:f>IF(AND(ISNUMBER('Drivers'!$D$12),I$6&lt;='Drivers'!$D$12),IF(AND('Closed Actuals'!I$6=I$6,'Closed Actuals'!I7&lt;&gt;"",'Closed Actuals'!I8&lt;&gt;"",'Closed Actuals'!I9&lt;&gt;"",COUNT('Closed Actuals'!I12:I33)=22),IF(SUM('Closed Actuals'!I12:I16)&lt;&gt;0,(SUM('Closed Actuals'!I12:I16)-SUM('Closed Actuals'!I17:I28))/SUM('Closed Actuals'!I12:I16),""),""),IF(ISNUMBER('STR Build'!I53),'STR Build'!I53,""))</x:f>
      </x:c>
      <x:c r="J13" s="53" t="str">
        <x:f>IF(AND(ISNUMBER('Drivers'!$D$12),J$6&lt;='Drivers'!$D$12),IF(AND('Closed Actuals'!J$6=J$6,'Closed Actuals'!J7&lt;&gt;"",'Closed Actuals'!J8&lt;&gt;"",'Closed Actuals'!J9&lt;&gt;"",COUNT('Closed Actuals'!J12:J33)=22),IF(SUM('Closed Actuals'!J12:J16)&lt;&gt;0,(SUM('Closed Actuals'!J12:J16)-SUM('Closed Actuals'!J17:J28))/SUM('Closed Actuals'!J12:J16),""),""),IF(ISNUMBER('STR Build'!J53),'STR Build'!J53,""))</x:f>
      </x:c>
      <x:c r="K13" s="53" t="str">
        <x:f>IF(AND(ISNUMBER('Drivers'!$D$12),K$6&lt;='Drivers'!$D$12),IF(AND('Closed Actuals'!K$6=K$6,'Closed Actuals'!K7&lt;&gt;"",'Closed Actuals'!K8&lt;&gt;"",'Closed Actuals'!K9&lt;&gt;"",COUNT('Closed Actuals'!K12:K33)=22),IF(SUM('Closed Actuals'!K12:K16)&lt;&gt;0,(SUM('Closed Actuals'!K12:K16)-SUM('Closed Actuals'!K17:K28))/SUM('Closed Actuals'!K12:K16),""),""),IF(ISNUMBER('STR Build'!K53),'STR Build'!K53,""))</x:f>
      </x:c>
      <x:c r="L13" s="53" t="str">
        <x:f>IF(AND(ISNUMBER('Drivers'!$D$12),L$6&lt;='Drivers'!$D$12),IF(AND('Closed Actuals'!L$6=L$6,'Closed Actuals'!L7&lt;&gt;"",'Closed Actuals'!L8&lt;&gt;"",'Closed Actuals'!L9&lt;&gt;"",COUNT('Closed Actuals'!L12:L33)=22),IF(SUM('Closed Actuals'!L12:L16)&lt;&gt;0,(SUM('Closed Actuals'!L12:L16)-SUM('Closed Actuals'!L17:L28))/SUM('Closed Actuals'!L12:L16),""),""),IF(ISNUMBER('STR Build'!L53),'STR Build'!L53,""))</x:f>
      </x:c>
      <x:c r="M13" s="53" t="str">
        <x:f>IF(AND(ISNUMBER('Drivers'!$D$12),M$6&lt;='Drivers'!$D$12),IF(AND('Closed Actuals'!M$6=M$6,'Closed Actuals'!M7&lt;&gt;"",'Closed Actuals'!M8&lt;&gt;"",'Closed Actuals'!M9&lt;&gt;"",COUNT('Closed Actuals'!M12:M33)=22),IF(SUM('Closed Actuals'!M12:M16)&lt;&gt;0,(SUM('Closed Actuals'!M12:M16)-SUM('Closed Actuals'!M17:M28))/SUM('Closed Actuals'!M12:M16),""),""),IF(ISNUMBER('STR Build'!M53),'STR Build'!M53,""))</x:f>
      </x:c>
      <x:c r="N13" s="53" t="str">
        <x:f>IF(AND(ISNUMBER('Drivers'!$D$12),N$6&lt;='Drivers'!$D$12),IF(AND('Closed Actuals'!N$6=N$6,'Closed Actuals'!N7&lt;&gt;"",'Closed Actuals'!N8&lt;&gt;"",'Closed Actuals'!N9&lt;&gt;"",COUNT('Closed Actuals'!N12:N33)=22),IF(SUM('Closed Actuals'!N12:N16)&lt;&gt;0,(SUM('Closed Actuals'!N12:N16)-SUM('Closed Actuals'!N17:N28))/SUM('Closed Actuals'!N12:N16),""),""),IF(ISNUMBER('STR Build'!N53),'STR Build'!N53,""))</x:f>
      </x:c>
      <x:c r="O13" s="53" t="str">
        <x:f>IF(AND(ISNUMBER('Drivers'!$D$12),O$6&lt;='Drivers'!$D$12),IF(AND('Closed Actuals'!O$6=O$6,'Closed Actuals'!O7&lt;&gt;"",'Closed Actuals'!O8&lt;&gt;"",'Closed Actuals'!O9&lt;&gt;"",COUNT('Closed Actuals'!O12:O33)=22),IF(SUM('Closed Actuals'!O12:O16)&lt;&gt;0,(SUM('Closed Actuals'!O12:O16)-SUM('Closed Actuals'!O17:O28))/SUM('Closed Actuals'!O12:O16),""),""),IF(ISNUMBER('STR Build'!O53),'STR Build'!O53,""))</x:f>
      </x:c>
      <x:c r="P13" s="53" t="str">
        <x:f>IF(AND(ISNUMBER('Drivers'!$D$12),P$6&lt;='Drivers'!$D$12),IF(AND('Closed Actuals'!P$6=P$6,'Closed Actuals'!P7&lt;&gt;"",'Closed Actuals'!P8&lt;&gt;"",'Closed Actuals'!P9&lt;&gt;"",COUNT('Closed Actuals'!P12:P33)=22),IF(SUM('Closed Actuals'!P12:P16)&lt;&gt;0,(SUM('Closed Actuals'!P12:P16)-SUM('Closed Actuals'!P17:P28))/SUM('Closed Actuals'!P12:P16),""),""),IF(ISNUMBER('STR Build'!P53),'STR Build'!P53,""))</x:f>
      </x:c>
      <x:c r="Q13" s="53" t="str">
        <x:f>IF(AND(ISNUMBER('Drivers'!$D$12),Q$6&lt;='Drivers'!$D$12),IF(AND('Closed Actuals'!Q$6=Q$6,'Closed Actuals'!Q7&lt;&gt;"",'Closed Actuals'!Q8&lt;&gt;"",'Closed Actuals'!Q9&lt;&gt;"",COUNT('Closed Actuals'!Q12:Q33)=22),IF(SUM('Closed Actuals'!Q12:Q16)&lt;&gt;0,(SUM('Closed Actuals'!Q12:Q16)-SUM('Closed Actuals'!Q17:Q28))/SUM('Closed Actuals'!Q12:Q16),""),""),IF(ISNUMBER('STR Build'!Q53),'STR Build'!Q53,""))</x:f>
      </x:c>
      <x:c r="R13" s="42"/>
      <x:c r="S13" s="42"/>
      <x:c r="T13" s="42"/>
    </x:row>
    <x:row r="14" ht="22" customHeight="1">
      <x:c r="A14" s="42"/>
      <x:c r="B14" s="42"/>
      <x:c r="C14" s="49" t="str">
        <x:v>Net cash flow</x:v>
      </x:c>
      <x:c r="D14" s="50" t="str">
        <x:f>IF(COUNT(F14:Q14)=12,SUM(F14:Q14),"")</x:f>
      </x:c>
      <x:c r="E14" s="50"/>
      <x:c r="F14" s="50" t="str">
        <x:f>IF(AND(ISNUMBER('Drivers'!$D$12),F$6&lt;='Drivers'!$D$12),IF(AND('Closed Actuals'!F$6=F$6,'Closed Actuals'!F7&lt;&gt;"",'Closed Actuals'!F8&lt;&gt;"",'Closed Actuals'!F9&lt;&gt;"",COUNT('Closed Actuals'!F12:F33)=22),((SUM('Closed Actuals'!F12:F16)-SUM('Closed Actuals'!F17:F28))-SUM('Closed Actuals'!F29:F33)),""),IF(ISNUMBER('STR Build'!F61),'STR Build'!F61,""))</x:f>
      </x:c>
      <x:c r="G14" s="50" t="str">
        <x:f>IF(AND(ISNUMBER('Drivers'!$D$12),G$6&lt;='Drivers'!$D$12),IF(AND('Closed Actuals'!G$6=G$6,'Closed Actuals'!G7&lt;&gt;"",'Closed Actuals'!G8&lt;&gt;"",'Closed Actuals'!G9&lt;&gt;"",COUNT('Closed Actuals'!G12:G33)=22),((SUM('Closed Actuals'!G12:G16)-SUM('Closed Actuals'!G17:G28))-SUM('Closed Actuals'!G29:G33)),""),IF(ISNUMBER('STR Build'!G61),'STR Build'!G61,""))</x:f>
      </x:c>
      <x:c r="H14" s="50" t="str">
        <x:f>IF(AND(ISNUMBER('Drivers'!$D$12),H$6&lt;='Drivers'!$D$12),IF(AND('Closed Actuals'!H$6=H$6,'Closed Actuals'!H7&lt;&gt;"",'Closed Actuals'!H8&lt;&gt;"",'Closed Actuals'!H9&lt;&gt;"",COUNT('Closed Actuals'!H12:H33)=22),((SUM('Closed Actuals'!H12:H16)-SUM('Closed Actuals'!H17:H28))-SUM('Closed Actuals'!H29:H33)),""),IF(ISNUMBER('STR Build'!H61),'STR Build'!H61,""))</x:f>
      </x:c>
      <x:c r="I14" s="50" t="str">
        <x:f>IF(AND(ISNUMBER('Drivers'!$D$12),I$6&lt;='Drivers'!$D$12),IF(AND('Closed Actuals'!I$6=I$6,'Closed Actuals'!I7&lt;&gt;"",'Closed Actuals'!I8&lt;&gt;"",'Closed Actuals'!I9&lt;&gt;"",COUNT('Closed Actuals'!I12:I33)=22),((SUM('Closed Actuals'!I12:I16)-SUM('Closed Actuals'!I17:I28))-SUM('Closed Actuals'!I29:I33)),""),IF(ISNUMBER('STR Build'!I61),'STR Build'!I61,""))</x:f>
      </x:c>
      <x:c r="J14" s="50" t="str">
        <x:f>IF(AND(ISNUMBER('Drivers'!$D$12),J$6&lt;='Drivers'!$D$12),IF(AND('Closed Actuals'!J$6=J$6,'Closed Actuals'!J7&lt;&gt;"",'Closed Actuals'!J8&lt;&gt;"",'Closed Actuals'!J9&lt;&gt;"",COUNT('Closed Actuals'!J12:J33)=22),((SUM('Closed Actuals'!J12:J16)-SUM('Closed Actuals'!J17:J28))-SUM('Closed Actuals'!J29:J33)),""),IF(ISNUMBER('STR Build'!J61),'STR Build'!J61,""))</x:f>
      </x:c>
      <x:c r="K14" s="50" t="str">
        <x:f>IF(AND(ISNUMBER('Drivers'!$D$12),K$6&lt;='Drivers'!$D$12),IF(AND('Closed Actuals'!K$6=K$6,'Closed Actuals'!K7&lt;&gt;"",'Closed Actuals'!K8&lt;&gt;"",'Closed Actuals'!K9&lt;&gt;"",COUNT('Closed Actuals'!K12:K33)=22),((SUM('Closed Actuals'!K12:K16)-SUM('Closed Actuals'!K17:K28))-SUM('Closed Actuals'!K29:K33)),""),IF(ISNUMBER('STR Build'!K61),'STR Build'!K61,""))</x:f>
      </x:c>
      <x:c r="L14" s="50" t="str">
        <x:f>IF(AND(ISNUMBER('Drivers'!$D$12),L$6&lt;='Drivers'!$D$12),IF(AND('Closed Actuals'!L$6=L$6,'Closed Actuals'!L7&lt;&gt;"",'Closed Actuals'!L8&lt;&gt;"",'Closed Actuals'!L9&lt;&gt;"",COUNT('Closed Actuals'!L12:L33)=22),((SUM('Closed Actuals'!L12:L16)-SUM('Closed Actuals'!L17:L28))-SUM('Closed Actuals'!L29:L33)),""),IF(ISNUMBER('STR Build'!L61),'STR Build'!L61,""))</x:f>
      </x:c>
      <x:c r="M14" s="50" t="str">
        <x:f>IF(AND(ISNUMBER('Drivers'!$D$12),M$6&lt;='Drivers'!$D$12),IF(AND('Closed Actuals'!M$6=M$6,'Closed Actuals'!M7&lt;&gt;"",'Closed Actuals'!M8&lt;&gt;"",'Closed Actuals'!M9&lt;&gt;"",COUNT('Closed Actuals'!M12:M33)=22),((SUM('Closed Actuals'!M12:M16)-SUM('Closed Actuals'!M17:M28))-SUM('Closed Actuals'!M29:M33)),""),IF(ISNUMBER('STR Build'!M61),'STR Build'!M61,""))</x:f>
      </x:c>
      <x:c r="N14" s="50" t="str">
        <x:f>IF(AND(ISNUMBER('Drivers'!$D$12),N$6&lt;='Drivers'!$D$12),IF(AND('Closed Actuals'!N$6=N$6,'Closed Actuals'!N7&lt;&gt;"",'Closed Actuals'!N8&lt;&gt;"",'Closed Actuals'!N9&lt;&gt;"",COUNT('Closed Actuals'!N12:N33)=22),((SUM('Closed Actuals'!N12:N16)-SUM('Closed Actuals'!N17:N28))-SUM('Closed Actuals'!N29:N33)),""),IF(ISNUMBER('STR Build'!N61),'STR Build'!N61,""))</x:f>
      </x:c>
      <x:c r="O14" s="50" t="str">
        <x:f>IF(AND(ISNUMBER('Drivers'!$D$12),O$6&lt;='Drivers'!$D$12),IF(AND('Closed Actuals'!O$6=O$6,'Closed Actuals'!O7&lt;&gt;"",'Closed Actuals'!O8&lt;&gt;"",'Closed Actuals'!O9&lt;&gt;"",COUNT('Closed Actuals'!O12:O33)=22),((SUM('Closed Actuals'!O12:O16)-SUM('Closed Actuals'!O17:O28))-SUM('Closed Actuals'!O29:O33)),""),IF(ISNUMBER('STR Build'!O61),'STR Build'!O61,""))</x:f>
      </x:c>
      <x:c r="P14" s="50" t="str">
        <x:f>IF(AND(ISNUMBER('Drivers'!$D$12),P$6&lt;='Drivers'!$D$12),IF(AND('Closed Actuals'!P$6=P$6,'Closed Actuals'!P7&lt;&gt;"",'Closed Actuals'!P8&lt;&gt;"",'Closed Actuals'!P9&lt;&gt;"",COUNT('Closed Actuals'!P12:P33)=22),((SUM('Closed Actuals'!P12:P16)-SUM('Closed Actuals'!P17:P28))-SUM('Closed Actuals'!P29:P33)),""),IF(ISNUMBER('STR Build'!P61),'STR Build'!P61,""))</x:f>
      </x:c>
      <x:c r="Q14" s="50" t="str">
        <x:f>IF(AND(ISNUMBER('Drivers'!$D$12),Q$6&lt;='Drivers'!$D$12),IF(AND('Closed Actuals'!Q$6=Q$6,'Closed Actuals'!Q7&lt;&gt;"",'Closed Actuals'!Q8&lt;&gt;"",'Closed Actuals'!Q9&lt;&gt;"",COUNT('Closed Actuals'!Q12:Q33)=22),((SUM('Closed Actuals'!Q12:Q16)-SUM('Closed Actuals'!Q17:Q28))-SUM('Closed Actuals'!Q29:Q33)),""),IF(ISNUMBER('STR Build'!Q61),'STR Build'!Q61,""))</x:f>
      </x:c>
      <x:c r="R14" s="42"/>
      <x:c r="S14" s="42"/>
      <x:c r="T14" s="42"/>
    </x:row>
    <x:row r="15" ht="22" customHeight="1">
      <x:c r="A15" s="42"/>
      <x:c r="B15" s="42"/>
      <x:c r="C15" s="42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  <x:c r="P15" s="51"/>
      <x:c r="Q15" s="51"/>
      <x:c r="R15" s="42"/>
      <x:c r="S15" s="42"/>
      <x:c r="T15" s="42"/>
    </x:row>
    <x:row r="16" ht="22" customHeight="1">
      <x:c r="A16" s="42"/>
      <x:c r="B16" s="42"/>
      <x:c r="C16" s="42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1"/>
      <x:c r="O16" s="51"/>
      <x:c r="P16" s="51"/>
      <x:c r="Q16" s="51"/>
      <x:c r="R16" s="42"/>
      <x:c r="S16" s="42"/>
      <x:c r="T16" s="42"/>
    </x:row>
    <x:row r="17" ht="22" customHeight="1">
      <x:c r="A17" s="42"/>
      <x:c r="B17" s="42"/>
      <x:c r="C17" s="42"/>
      <x:c r="D17" s="51"/>
      <x:c r="E17" s="51"/>
      <x:c r="F17" s="51"/>
      <x:c r="G17" s="51"/>
      <x:c r="H17" s="51"/>
      <x:c r="I17" s="51"/>
      <x:c r="J17" s="51"/>
      <x:c r="K17" s="51"/>
      <x:c r="L17" s="51"/>
      <x:c r="M17" s="51"/>
      <x:c r="N17" s="51"/>
      <x:c r="O17" s="51"/>
      <x:c r="P17" s="51"/>
      <x:c r="Q17" s="51"/>
      <x:c r="R17" s="42"/>
      <x:c r="S17" s="42"/>
      <x:c r="T17" s="42"/>
    </x:row>
    <x:row r="18" ht="22" customHeight="1">
      <x:c r="A18" s="42"/>
      <x:c r="B18" s="42"/>
      <x:c r="C18" s="42" t="str">
        <x:v>Available unit-nights</x:v>
      </x:c>
      <x:c r="D18" s="51" t="str">
        <x:f>IF(COUNT(F18:Q18)=12,SUM(F18:Q18),"")</x:f>
      </x:c>
      <x:c r="E18" s="51"/>
      <x:c r="F18" s="51" t="str">
        <x:f>IF(AND(ISNUMBER('Drivers'!$D$12),F$6&lt;='Drivers'!$D$12),"",IF(ISNUMBER('STR Build'!F23),'STR Build'!F23,""))</x:f>
      </x:c>
      <x:c r="G18" s="51" t="str">
        <x:f>IF(AND(ISNUMBER('Drivers'!$D$12),G$6&lt;='Drivers'!$D$12),"",IF(ISNUMBER('STR Build'!G23),'STR Build'!G23,""))</x:f>
      </x:c>
      <x:c r="H18" s="51" t="str">
        <x:f>IF(AND(ISNUMBER('Drivers'!$D$12),H$6&lt;='Drivers'!$D$12),"",IF(ISNUMBER('STR Build'!H23),'STR Build'!H23,""))</x:f>
      </x:c>
      <x:c r="I18" s="51" t="str">
        <x:f>IF(AND(ISNUMBER('Drivers'!$D$12),I$6&lt;='Drivers'!$D$12),"",IF(ISNUMBER('STR Build'!I23),'STR Build'!I23,""))</x:f>
      </x:c>
      <x:c r="J18" s="51" t="str">
        <x:f>IF(AND(ISNUMBER('Drivers'!$D$12),J$6&lt;='Drivers'!$D$12),"",IF(ISNUMBER('STR Build'!J23),'STR Build'!J23,""))</x:f>
      </x:c>
      <x:c r="K18" s="51" t="str">
        <x:f>IF(AND(ISNUMBER('Drivers'!$D$12),K$6&lt;='Drivers'!$D$12),"",IF(ISNUMBER('STR Build'!K23),'STR Build'!K23,""))</x:f>
      </x:c>
      <x:c r="L18" s="51" t="str">
        <x:f>IF(AND(ISNUMBER('Drivers'!$D$12),L$6&lt;='Drivers'!$D$12),"",IF(ISNUMBER('STR Build'!L23),'STR Build'!L23,""))</x:f>
      </x:c>
      <x:c r="M18" s="51" t="str">
        <x:f>IF(AND(ISNUMBER('Drivers'!$D$12),M$6&lt;='Drivers'!$D$12),"",IF(ISNUMBER('STR Build'!M23),'STR Build'!M23,""))</x:f>
      </x:c>
      <x:c r="N18" s="51" t="str">
        <x:f>IF(AND(ISNUMBER('Drivers'!$D$12),N$6&lt;='Drivers'!$D$12),"",IF(ISNUMBER('STR Build'!N23),'STR Build'!N23,""))</x:f>
      </x:c>
      <x:c r="O18" s="51" t="str">
        <x:f>IF(AND(ISNUMBER('Drivers'!$D$12),O$6&lt;='Drivers'!$D$12),"",IF(ISNUMBER('STR Build'!O23),'STR Build'!O23,""))</x:f>
      </x:c>
      <x:c r="P18" s="51" t="str">
        <x:f>IF(AND(ISNUMBER('Drivers'!$D$12),P$6&lt;='Drivers'!$D$12),"",IF(ISNUMBER('STR Build'!P23),'STR Build'!P23,""))</x:f>
      </x:c>
      <x:c r="Q18" s="51" t="str">
        <x:f>IF(AND(ISNUMBER('Drivers'!$D$12),Q$6&lt;='Drivers'!$D$12),"",IF(ISNUMBER('STR Build'!Q23),'STR Build'!Q23,""))</x:f>
      </x:c>
      <x:c r="R18" s="42"/>
      <x:c r="S18" s="42"/>
      <x:c r="T18" s="42"/>
    </x:row>
    <x:row r="19" ht="22" customHeight="1">
      <x:c r="A19" s="42"/>
      <x:c r="B19" s="42"/>
      <x:c r="C19" s="42" t="str">
        <x:v>Booked unit-nights</x:v>
      </x:c>
      <x:c r="D19" s="51" t="str">
        <x:f>IF(COUNT(F19:Q19)=12,SUM(F19:Q19),"")</x:f>
      </x:c>
      <x:c r="E19" s="51"/>
      <x:c r="F19" s="51" t="str">
        <x:f>IF(AND(ISNUMBER('Drivers'!$D$12),F$6&lt;='Drivers'!$D$12),"",IF(ISNUMBER('STR Build'!F24),'STR Build'!F24,""))</x:f>
      </x:c>
      <x:c r="G19" s="51" t="str">
        <x:f>IF(AND(ISNUMBER('Drivers'!$D$12),G$6&lt;='Drivers'!$D$12),"",IF(ISNUMBER('STR Build'!G24),'STR Build'!G24,""))</x:f>
      </x:c>
      <x:c r="H19" s="51" t="str">
        <x:f>IF(AND(ISNUMBER('Drivers'!$D$12),H$6&lt;='Drivers'!$D$12),"",IF(ISNUMBER('STR Build'!H24),'STR Build'!H24,""))</x:f>
      </x:c>
      <x:c r="I19" s="51" t="str">
        <x:f>IF(AND(ISNUMBER('Drivers'!$D$12),I$6&lt;='Drivers'!$D$12),"",IF(ISNUMBER('STR Build'!I24),'STR Build'!I24,""))</x:f>
      </x:c>
      <x:c r="J19" s="51" t="str">
        <x:f>IF(AND(ISNUMBER('Drivers'!$D$12),J$6&lt;='Drivers'!$D$12),"",IF(ISNUMBER('STR Build'!J24),'STR Build'!J24,""))</x:f>
      </x:c>
      <x:c r="K19" s="51" t="str">
        <x:f>IF(AND(ISNUMBER('Drivers'!$D$12),K$6&lt;='Drivers'!$D$12),"",IF(ISNUMBER('STR Build'!K24),'STR Build'!K24,""))</x:f>
      </x:c>
      <x:c r="L19" s="51" t="str">
        <x:f>IF(AND(ISNUMBER('Drivers'!$D$12),L$6&lt;='Drivers'!$D$12),"",IF(ISNUMBER('STR Build'!L24),'STR Build'!L24,""))</x:f>
      </x:c>
      <x:c r="M19" s="51" t="str">
        <x:f>IF(AND(ISNUMBER('Drivers'!$D$12),M$6&lt;='Drivers'!$D$12),"",IF(ISNUMBER('STR Build'!M24),'STR Build'!M24,""))</x:f>
      </x:c>
      <x:c r="N19" s="51" t="str">
        <x:f>IF(AND(ISNUMBER('Drivers'!$D$12),N$6&lt;='Drivers'!$D$12),"",IF(ISNUMBER('STR Build'!N24),'STR Build'!N24,""))</x:f>
      </x:c>
      <x:c r="O19" s="51" t="str">
        <x:f>IF(AND(ISNUMBER('Drivers'!$D$12),O$6&lt;='Drivers'!$D$12),"",IF(ISNUMBER('STR Build'!O24),'STR Build'!O24,""))</x:f>
      </x:c>
      <x:c r="P19" s="51" t="str">
        <x:f>IF(AND(ISNUMBER('Drivers'!$D$12),P$6&lt;='Drivers'!$D$12),"",IF(ISNUMBER('STR Build'!P24),'STR Build'!P24,""))</x:f>
      </x:c>
      <x:c r="Q19" s="51" t="str">
        <x:f>IF(AND(ISNUMBER('Drivers'!$D$12),Q$6&lt;='Drivers'!$D$12),"",IF(ISNUMBER('STR Build'!Q24),'STR Build'!Q24,""))</x:f>
      </x:c>
      <x:c r="R19" s="42"/>
      <x:c r="S19" s="42"/>
      <x:c r="T19" s="42"/>
    </x:row>
    <x:row r="20" ht="22" customHeight="1">
      <x:c r="A20" s="42"/>
      <x:c r="B20" s="42"/>
      <x:c r="C20" s="42" t="str">
        <x:v>Expected stays / turnovers</x:v>
      </x:c>
      <x:c r="D20" s="51" t="str">
        <x:f>IF(COUNT(F20:Q20)=12,SUM(F20:Q20),"")</x:f>
      </x:c>
      <x:c r="E20" s="51"/>
      <x:c r="F20" s="51" t="str">
        <x:f>IF(AND(ISNUMBER('Drivers'!$D$12),F$6&lt;='Drivers'!$D$12),"",IF(ISNUMBER('STR Build'!F25),'STR Build'!F25,""))</x:f>
      </x:c>
      <x:c r="G20" s="51" t="str">
        <x:f>IF(AND(ISNUMBER('Drivers'!$D$12),G$6&lt;='Drivers'!$D$12),"",IF(ISNUMBER('STR Build'!G25),'STR Build'!G25,""))</x:f>
      </x:c>
      <x:c r="H20" s="51" t="str">
        <x:f>IF(AND(ISNUMBER('Drivers'!$D$12),H$6&lt;='Drivers'!$D$12),"",IF(ISNUMBER('STR Build'!H25),'STR Build'!H25,""))</x:f>
      </x:c>
      <x:c r="I20" s="51" t="str">
        <x:f>IF(AND(ISNUMBER('Drivers'!$D$12),I$6&lt;='Drivers'!$D$12),"",IF(ISNUMBER('STR Build'!I25),'STR Build'!I25,""))</x:f>
      </x:c>
      <x:c r="J20" s="51" t="str">
        <x:f>IF(AND(ISNUMBER('Drivers'!$D$12),J$6&lt;='Drivers'!$D$12),"",IF(ISNUMBER('STR Build'!J25),'STR Build'!J25,""))</x:f>
      </x:c>
      <x:c r="K20" s="51" t="str">
        <x:f>IF(AND(ISNUMBER('Drivers'!$D$12),K$6&lt;='Drivers'!$D$12),"",IF(ISNUMBER('STR Build'!K25),'STR Build'!K25,""))</x:f>
      </x:c>
      <x:c r="L20" s="51" t="str">
        <x:f>IF(AND(ISNUMBER('Drivers'!$D$12),L$6&lt;='Drivers'!$D$12),"",IF(ISNUMBER('STR Build'!L25),'STR Build'!L25,""))</x:f>
      </x:c>
      <x:c r="M20" s="51" t="str">
        <x:f>IF(AND(ISNUMBER('Drivers'!$D$12),M$6&lt;='Drivers'!$D$12),"",IF(ISNUMBER('STR Build'!M25),'STR Build'!M25,""))</x:f>
      </x:c>
      <x:c r="N20" s="51" t="str">
        <x:f>IF(AND(ISNUMBER('Drivers'!$D$12),N$6&lt;='Drivers'!$D$12),"",IF(ISNUMBER('STR Build'!N25),'STR Build'!N25,""))</x:f>
      </x:c>
      <x:c r="O20" s="51" t="str">
        <x:f>IF(AND(ISNUMBER('Drivers'!$D$12),O$6&lt;='Drivers'!$D$12),"",IF(ISNUMBER('STR Build'!O25),'STR Build'!O25,""))</x:f>
      </x:c>
      <x:c r="P20" s="51" t="str">
        <x:f>IF(AND(ISNUMBER('Drivers'!$D$12),P$6&lt;='Drivers'!$D$12),"",IF(ISNUMBER('STR Build'!P25),'STR Build'!P25,""))</x:f>
      </x:c>
      <x:c r="Q20" s="51" t="str">
        <x:f>IF(AND(ISNUMBER('Drivers'!$D$12),Q$6&lt;='Drivers'!$D$12),"",IF(ISNUMBER('STR Build'!Q25),'STR Build'!Q25,""))</x:f>
      </x:c>
      <x:c r="R20" s="42"/>
      <x:c r="S20" s="42"/>
      <x:c r="T20" s="42"/>
    </x:row>
    <x:row r="21" ht="22" customHeight="1">
      <x:c r="A21" s="42"/>
      <x:c r="B21" s="42"/>
      <x:c r="C21" s="52" t="str">
        <x:v>Booked occupancy</x:v>
      </x:c>
      <x:c r="D21" s="53" t="str">
        <x:f>IF(AND(ISNUMBER(D19),ISNUMBER(D18),D18&lt;&gt;0),D19/D18,"")</x:f>
      </x:c>
      <x:c r="E21" s="53"/>
      <x:c r="F21" s="53" t="str">
        <x:f>IF(AND(ISNUMBER('Drivers'!$D$12),F$6&lt;='Drivers'!$D$12),"",IF(ISNUMBER('STR Build'!F11),'STR Build'!F11,""))</x:f>
      </x:c>
      <x:c r="G21" s="53" t="str">
        <x:f>IF(AND(ISNUMBER('Drivers'!$D$12),G$6&lt;='Drivers'!$D$12),"",IF(ISNUMBER('STR Build'!G11),'STR Build'!G11,""))</x:f>
      </x:c>
      <x:c r="H21" s="53" t="str">
        <x:f>IF(AND(ISNUMBER('Drivers'!$D$12),H$6&lt;='Drivers'!$D$12),"",IF(ISNUMBER('STR Build'!H11),'STR Build'!H11,""))</x:f>
      </x:c>
      <x:c r="I21" s="53" t="str">
        <x:f>IF(AND(ISNUMBER('Drivers'!$D$12),I$6&lt;='Drivers'!$D$12),"",IF(ISNUMBER('STR Build'!I11),'STR Build'!I11,""))</x:f>
      </x:c>
      <x:c r="J21" s="53" t="str">
        <x:f>IF(AND(ISNUMBER('Drivers'!$D$12),J$6&lt;='Drivers'!$D$12),"",IF(ISNUMBER('STR Build'!J11),'STR Build'!J11,""))</x:f>
      </x:c>
      <x:c r="K21" s="53" t="str">
        <x:f>IF(AND(ISNUMBER('Drivers'!$D$12),K$6&lt;='Drivers'!$D$12),"",IF(ISNUMBER('STR Build'!K11),'STR Build'!K11,""))</x:f>
      </x:c>
      <x:c r="L21" s="53" t="str">
        <x:f>IF(AND(ISNUMBER('Drivers'!$D$12),L$6&lt;='Drivers'!$D$12),"",IF(ISNUMBER('STR Build'!L11),'STR Build'!L11,""))</x:f>
      </x:c>
      <x:c r="M21" s="53" t="str">
        <x:f>IF(AND(ISNUMBER('Drivers'!$D$12),M$6&lt;='Drivers'!$D$12),"",IF(ISNUMBER('STR Build'!M11),'STR Build'!M11,""))</x:f>
      </x:c>
      <x:c r="N21" s="53" t="str">
        <x:f>IF(AND(ISNUMBER('Drivers'!$D$12),N$6&lt;='Drivers'!$D$12),"",IF(ISNUMBER('STR Build'!N11),'STR Build'!N11,""))</x:f>
      </x:c>
      <x:c r="O21" s="53" t="str">
        <x:f>IF(AND(ISNUMBER('Drivers'!$D$12),O$6&lt;='Drivers'!$D$12),"",IF(ISNUMBER('STR Build'!O11),'STR Build'!O11,""))</x:f>
      </x:c>
      <x:c r="P21" s="53" t="str">
        <x:f>IF(AND(ISNUMBER('Drivers'!$D$12),P$6&lt;='Drivers'!$D$12),"",IF(ISNUMBER('STR Build'!P11),'STR Build'!P11,""))</x:f>
      </x:c>
      <x:c r="Q21" s="53" t="str">
        <x:f>IF(AND(ISNUMBER('Drivers'!$D$12),Q$6&lt;='Drivers'!$D$12),"",IF(ISNUMBER('STR Build'!Q11),'STR Build'!Q11,""))</x:f>
      </x:c>
      <x:c r="R21" s="42"/>
      <x:c r="S21" s="42"/>
      <x:c r="T21" s="42"/>
    </x:row>
    <x:row r="22" ht="22" customHeight="1">
      <x:c r="A22" s="42"/>
      <x:c r="B22" s="42"/>
      <x:c r="C22" s="42" t="str">
        <x:v>Average daily rate</x:v>
      </x:c>
      <x:c r="D22" s="51"/>
      <x:c r="E22" s="51"/>
      <x:c r="F22" s="51" t="str">
        <x:f>IF(AND(ISNUMBER('Drivers'!$D$12),F$6&lt;='Drivers'!$D$12),"",IF(ISNUMBER('STR Build'!F10),'STR Build'!F10,""))</x:f>
      </x:c>
      <x:c r="G22" s="51" t="str">
        <x:f>IF(AND(ISNUMBER('Drivers'!$D$12),G$6&lt;='Drivers'!$D$12),"",IF(ISNUMBER('STR Build'!G10),'STR Build'!G10,""))</x:f>
      </x:c>
      <x:c r="H22" s="51" t="str">
        <x:f>IF(AND(ISNUMBER('Drivers'!$D$12),H$6&lt;='Drivers'!$D$12),"",IF(ISNUMBER('STR Build'!H10),'STR Build'!H10,""))</x:f>
      </x:c>
      <x:c r="I22" s="51" t="str">
        <x:f>IF(AND(ISNUMBER('Drivers'!$D$12),I$6&lt;='Drivers'!$D$12),"",IF(ISNUMBER('STR Build'!I10),'STR Build'!I10,""))</x:f>
      </x:c>
      <x:c r="J22" s="51" t="str">
        <x:f>IF(AND(ISNUMBER('Drivers'!$D$12),J$6&lt;='Drivers'!$D$12),"",IF(ISNUMBER('STR Build'!J10),'STR Build'!J10,""))</x:f>
      </x:c>
      <x:c r="K22" s="51" t="str">
        <x:f>IF(AND(ISNUMBER('Drivers'!$D$12),K$6&lt;='Drivers'!$D$12),"",IF(ISNUMBER('STR Build'!K10),'STR Build'!K10,""))</x:f>
      </x:c>
      <x:c r="L22" s="51" t="str">
        <x:f>IF(AND(ISNUMBER('Drivers'!$D$12),L$6&lt;='Drivers'!$D$12),"",IF(ISNUMBER('STR Build'!L10),'STR Build'!L10,""))</x:f>
      </x:c>
      <x:c r="M22" s="51" t="str">
        <x:f>IF(AND(ISNUMBER('Drivers'!$D$12),M$6&lt;='Drivers'!$D$12),"",IF(ISNUMBER('STR Build'!M10),'STR Build'!M10,""))</x:f>
      </x:c>
      <x:c r="N22" s="51" t="str">
        <x:f>IF(AND(ISNUMBER('Drivers'!$D$12),N$6&lt;='Drivers'!$D$12),"",IF(ISNUMBER('STR Build'!N10),'STR Build'!N10,""))</x:f>
      </x:c>
      <x:c r="O22" s="51" t="str">
        <x:f>IF(AND(ISNUMBER('Drivers'!$D$12),O$6&lt;='Drivers'!$D$12),"",IF(ISNUMBER('STR Build'!O10),'STR Build'!O10,""))</x:f>
      </x:c>
      <x:c r="P22" s="51" t="str">
        <x:f>IF(AND(ISNUMBER('Drivers'!$D$12),P$6&lt;='Drivers'!$D$12),"",IF(ISNUMBER('STR Build'!P10),'STR Build'!P10,""))</x:f>
      </x:c>
      <x:c r="Q22" s="51" t="str">
        <x:f>IF(AND(ISNUMBER('Drivers'!$D$12),Q$6&lt;='Drivers'!$D$12),"",IF(ISNUMBER('STR Build'!Q10),'STR Build'!Q10,""))</x:f>
      </x:c>
      <x:c r="R22" s="42"/>
      <x:c r="S22" s="42"/>
      <x:c r="T22" s="42"/>
    </x:row>
    <x:row r="23" ht="22" customHeight="1">
      <x:c r="A23" s="42"/>
      <x:c r="B23" s="42"/>
      <x:c r="C23" s="42" t="str">
        <x:v>RevPAR</x:v>
      </x:c>
      <x:c r="D23" s="51"/>
      <x:c r="E23" s="51"/>
      <x:c r="F23" s="51" t="str">
        <x:f>IF(AND(ISNUMBER('Drivers'!$D$12),F$6&lt;='Drivers'!$D$12),"",IF(ISNUMBER('STR Build'!F63),'STR Build'!F63,""))</x:f>
      </x:c>
      <x:c r="G23" s="51" t="str">
        <x:f>IF(AND(ISNUMBER('Drivers'!$D$12),G$6&lt;='Drivers'!$D$12),"",IF(ISNUMBER('STR Build'!G63),'STR Build'!G63,""))</x:f>
      </x:c>
      <x:c r="H23" s="51" t="str">
        <x:f>IF(AND(ISNUMBER('Drivers'!$D$12),H$6&lt;='Drivers'!$D$12),"",IF(ISNUMBER('STR Build'!H63),'STR Build'!H63,""))</x:f>
      </x:c>
      <x:c r="I23" s="51" t="str">
        <x:f>IF(AND(ISNUMBER('Drivers'!$D$12),I$6&lt;='Drivers'!$D$12),"",IF(ISNUMBER('STR Build'!I63),'STR Build'!I63,""))</x:f>
      </x:c>
      <x:c r="J23" s="51" t="str">
        <x:f>IF(AND(ISNUMBER('Drivers'!$D$12),J$6&lt;='Drivers'!$D$12),"",IF(ISNUMBER('STR Build'!J63),'STR Build'!J63,""))</x:f>
      </x:c>
      <x:c r="K23" s="51" t="str">
        <x:f>IF(AND(ISNUMBER('Drivers'!$D$12),K$6&lt;='Drivers'!$D$12),"",IF(ISNUMBER('STR Build'!K63),'STR Build'!K63,""))</x:f>
      </x:c>
      <x:c r="L23" s="51" t="str">
        <x:f>IF(AND(ISNUMBER('Drivers'!$D$12),L$6&lt;='Drivers'!$D$12),"",IF(ISNUMBER('STR Build'!L63),'STR Build'!L63,""))</x:f>
      </x:c>
      <x:c r="M23" s="51" t="str">
        <x:f>IF(AND(ISNUMBER('Drivers'!$D$12),M$6&lt;='Drivers'!$D$12),"",IF(ISNUMBER('STR Build'!M63),'STR Build'!M63,""))</x:f>
      </x:c>
      <x:c r="N23" s="51" t="str">
        <x:f>IF(AND(ISNUMBER('Drivers'!$D$12),N$6&lt;='Drivers'!$D$12),"",IF(ISNUMBER('STR Build'!N63),'STR Build'!N63,""))</x:f>
      </x:c>
      <x:c r="O23" s="51" t="str">
        <x:f>IF(AND(ISNUMBER('Drivers'!$D$12),O$6&lt;='Drivers'!$D$12),"",IF(ISNUMBER('STR Build'!O63),'STR Build'!O63,""))</x:f>
      </x:c>
      <x:c r="P23" s="51" t="str">
        <x:f>IF(AND(ISNUMBER('Drivers'!$D$12),P$6&lt;='Drivers'!$D$12),"",IF(ISNUMBER('STR Build'!P63),'STR Build'!P63,""))</x:f>
      </x:c>
      <x:c r="Q23" s="51" t="str">
        <x:f>IF(AND(ISNUMBER('Drivers'!$D$12),Q$6&lt;='Drivers'!$D$12),"",IF(ISNUMBER('STR Build'!Q63),'STR Build'!Q63,""))</x:f>
      </x:c>
      <x:c r="R23" s="42"/>
      <x:c r="S23" s="42"/>
      <x:c r="T23" s="42"/>
    </x:row>
    <x:row r="24" ht="22" customHeight="1">
      <x:c r="A24" s="42"/>
      <x:c r="B24" s="42"/>
      <x:c r="C24" s="52" t="str">
        <x:v>Operating break-even occupancy</x:v>
      </x:c>
      <x:c r="D24" s="53"/>
      <x:c r="E24" s="53"/>
      <x:c r="F24" s="53" t="str">
        <x:f>IF(AND(ISNUMBER('Drivers'!$D$12),F$6&lt;='Drivers'!$D$12),"",IF(ISNUMBER('STR Build'!F65),'STR Build'!F65,""))</x:f>
      </x:c>
      <x:c r="G24" s="53" t="str">
        <x:f>IF(AND(ISNUMBER('Drivers'!$D$12),G$6&lt;='Drivers'!$D$12),"",IF(ISNUMBER('STR Build'!G65),'STR Build'!G65,""))</x:f>
      </x:c>
      <x:c r="H24" s="53" t="str">
        <x:f>IF(AND(ISNUMBER('Drivers'!$D$12),H$6&lt;='Drivers'!$D$12),"",IF(ISNUMBER('STR Build'!H65),'STR Build'!H65,""))</x:f>
      </x:c>
      <x:c r="I24" s="53" t="str">
        <x:f>IF(AND(ISNUMBER('Drivers'!$D$12),I$6&lt;='Drivers'!$D$12),"",IF(ISNUMBER('STR Build'!I65),'STR Build'!I65,""))</x:f>
      </x:c>
      <x:c r="J24" s="53" t="str">
        <x:f>IF(AND(ISNUMBER('Drivers'!$D$12),J$6&lt;='Drivers'!$D$12),"",IF(ISNUMBER('STR Build'!J65),'STR Build'!J65,""))</x:f>
      </x:c>
      <x:c r="K24" s="53" t="str">
        <x:f>IF(AND(ISNUMBER('Drivers'!$D$12),K$6&lt;='Drivers'!$D$12),"",IF(ISNUMBER('STR Build'!K65),'STR Build'!K65,""))</x:f>
      </x:c>
      <x:c r="L24" s="53" t="str">
        <x:f>IF(AND(ISNUMBER('Drivers'!$D$12),L$6&lt;='Drivers'!$D$12),"",IF(ISNUMBER('STR Build'!L65),'STR Build'!L65,""))</x:f>
      </x:c>
      <x:c r="M24" s="53" t="str">
        <x:f>IF(AND(ISNUMBER('Drivers'!$D$12),M$6&lt;='Drivers'!$D$12),"",IF(ISNUMBER('STR Build'!M65),'STR Build'!M65,""))</x:f>
      </x:c>
      <x:c r="N24" s="53" t="str">
        <x:f>IF(AND(ISNUMBER('Drivers'!$D$12),N$6&lt;='Drivers'!$D$12),"",IF(ISNUMBER('STR Build'!N65),'STR Build'!N65,""))</x:f>
      </x:c>
      <x:c r="O24" s="53" t="str">
        <x:f>IF(AND(ISNUMBER('Drivers'!$D$12),O$6&lt;='Drivers'!$D$12),"",IF(ISNUMBER('STR Build'!O65),'STR Build'!O65,""))</x:f>
      </x:c>
      <x:c r="P24" s="53" t="str">
        <x:f>IF(AND(ISNUMBER('Drivers'!$D$12),P$6&lt;='Drivers'!$D$12),"",IF(ISNUMBER('STR Build'!P65),'STR Build'!P65,""))</x:f>
      </x:c>
      <x:c r="Q24" s="53" t="str">
        <x:f>IF(AND(ISNUMBER('Drivers'!$D$12),Q$6&lt;='Drivers'!$D$12),"",IF(ISNUMBER('STR Build'!Q65),'STR Build'!Q65,""))</x:f>
      </x:c>
      <x:c r="R24" s="42"/>
      <x:c r="S24" s="42"/>
      <x:c r="T24" s="42"/>
    </x:row>
    <x:row r="25" ht="22" customHeight="1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</x:row>
    <x:row r="26" ht="22" customHeight="1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</x:row>
    <x:row r="27" ht="22" customHeight="1">
      <x:c r="A27" s="42"/>
      <x:c r="B27" s="42"/>
      <x:c r="C27" s="54" t="str">
        <x:v>How to use</x:v>
      </x:c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42"/>
      <x:c r="S27" s="42"/>
      <x:c r="T27" s="42"/>
    </x:row>
    <x:row r="28" ht="22" customHeight="1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</x:row>
    <x:row r="29" ht="22" customHeight="1">
      <x:c r="A29" s="42"/>
      <x:c r="B29" s="42"/>
      <x:c r="C29" s="42" t="str">
        <x:v>1. Set the property, reporting year, currency, scenario and source versions on Drivers.</x:v>
      </x:c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</x:row>
    <x:row r="30" ht="22" customHeight="1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</x:row>
    <x:row r="31" ht="22" customHeight="1">
      <x:c r="A31" s="42"/>
      <x:c r="B31" s="42"/>
      <x:c r="C31" s="42" t="str">
        <x:v>2. Enter monthly operating assumptions and costs. Explicitly enter zero for a known zero.</x:v>
      </x:c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</x:row>
    <x:row r="32" ht="22" customHeight="1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</x:row>
    <x:row r="33" ht="22" customHeight="1">
      <x:c r="A33" s="42"/>
      <x:c r="B33" s="42"/>
      <x:c r="C33" s="42" t="str">
        <x:v>3. Map every provisional GL to an authorized ATLAS account before upload.</x:v>
      </x:c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</x:row>
    <x:row r="34" ht="22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</x:row>
    <x:row r="35" ht="22" customHeight="1">
      <x:c r="A35" s="42"/>
      <x:c r="B35" s="42"/>
      <x:c r="C35" s="42" t="str">
        <x:v>4. Use ATLAS Export for open-month planning. Close, lock and publish within ATLAS.</x:v>
      </x:c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</x:row>
    <x:row r="36" ht="22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</x:row>
    <x:row r="37" ht="22" customHeight="1">
      <x:c r="A37" s="42"/>
      <x:c r="B37" s="42"/>
      <x:c r="C37" s="42" t="str">
        <x:v>Closed-month financials need canonical close evidence. Operating statistics remain blank for closed months.</x:v>
      </x:c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</x:row>
    <x:row r="38" ht="22" customHeight="1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</x:row>
    <x:row r="39" ht="22" customHeight="1">
      <x:c r="A39" s="42"/>
      <x:c r="B39" s="42"/>
      <x:c r="C39" s="42" t="str">
        <x:v>NOI break-even excludes debt, capital and below-NOI costs. Cash flow includes working-capital timing.</x:v>
      </x:c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</x:row>
    <x:row r="40" ht="22" customHeight="1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</x:row>
    <x:row r="41" ht="22" customHeight="1">
      <x:c r="A41" s="42"/>
      <x:c r="B41" s="42"/>
      <x:c r="C41" s="42" t="str">
        <x:v>No source financial amounts have been supplied. Blank results are expected until inputs are entered.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</x:row>
    <x:row r="42" ht="22" customHeight="1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</x:row>
    <x:row r="43" ht="22" customHeight="1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</x:row>
    <x:row r="44" ht="22" customHeight="1">
      <x:c r="A44" s="42"/>
      <x:c r="B44" s="42"/>
      <x:c r="C44" s="54" t="str">
        <x:v>Original budget comparison</x:v>
      </x:c>
      <x:c r="D44" s="54"/>
      <x:c r="E44" s="54"/>
      <x:c r="F44" s="54"/>
      <x:c r="G44" s="54"/>
      <x:c r="H44" s="54"/>
      <x:c r="I44" s="54"/>
      <x:c r="J44" s="54"/>
      <x:c r="K44" s="54"/>
      <x:c r="L44" s="54"/>
      <x:c r="M44" s="54"/>
      <x:c r="N44" s="54"/>
      <x:c r="O44" s="54"/>
      <x:c r="P44" s="54"/>
      <x:c r="Q44" s="54"/>
      <x:c r="R44" s="42"/>
      <x:c r="S44" s="42"/>
      <x:c r="T44" s="42"/>
    </x:row>
    <x:row r="45" ht="22" customHeight="1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</x:row>
    <x:row r="46" ht="22" customHeight="1">
      <x:c r="A46" s="42"/>
      <x:c r="B46" s="42"/>
      <x:c r="C46" s="42" t="str">
        <x:v>Original budget effective revenue</x:v>
      </x:c>
      <x:c r="D46" s="51" t="str">
        <x:f>IF(COUNT(F46:Q46)=12,SUM(F46:Q46),"")</x:f>
      </x:c>
      <x:c r="E46" s="51"/>
      <x:c r="F46" s="51" t="str">
        <x:f>IF(ISNUMBER('STR Build'!F70),'STR Build'!F70,"")</x:f>
      </x:c>
      <x:c r="G46" s="51" t="str">
        <x:f>IF(ISNUMBER('STR Build'!G70),'STR Build'!G70,"")</x:f>
      </x:c>
      <x:c r="H46" s="51" t="str">
        <x:f>IF(ISNUMBER('STR Build'!H70),'STR Build'!H70,"")</x:f>
      </x:c>
      <x:c r="I46" s="51" t="str">
        <x:f>IF(ISNUMBER('STR Build'!I70),'STR Build'!I70,"")</x:f>
      </x:c>
      <x:c r="J46" s="51" t="str">
        <x:f>IF(ISNUMBER('STR Build'!J70),'STR Build'!J70,"")</x:f>
      </x:c>
      <x:c r="K46" s="51" t="str">
        <x:f>IF(ISNUMBER('STR Build'!K70),'STR Build'!K70,"")</x:f>
      </x:c>
      <x:c r="L46" s="51" t="str">
        <x:f>IF(ISNUMBER('STR Build'!L70),'STR Build'!L70,"")</x:f>
      </x:c>
      <x:c r="M46" s="51" t="str">
        <x:f>IF(ISNUMBER('STR Build'!M70),'STR Build'!M70,"")</x:f>
      </x:c>
      <x:c r="N46" s="51" t="str">
        <x:f>IF(ISNUMBER('STR Build'!N70),'STR Build'!N70,"")</x:f>
      </x:c>
      <x:c r="O46" s="51" t="str">
        <x:f>IF(ISNUMBER('STR Build'!O70),'STR Build'!O70,"")</x:f>
      </x:c>
      <x:c r="P46" s="51" t="str">
        <x:f>IF(ISNUMBER('STR Build'!P70),'STR Build'!P70,"")</x:f>
      </x:c>
      <x:c r="Q46" s="51" t="str">
        <x:f>IF(ISNUMBER('STR Build'!Q70),'STR Build'!Q70,"")</x:f>
      </x:c>
      <x:c r="R46" s="42"/>
      <x:c r="S46" s="42"/>
      <x:c r="T46" s="42"/>
    </x:row>
    <x:row r="47" ht="22" customHeight="1">
      <x:c r="A47" s="42"/>
      <x:c r="B47" s="42"/>
      <x:c r="C47" s="42" t="str">
        <x:v>Original budget NOI</x:v>
      </x:c>
      <x:c r="D47" s="51" t="str">
        <x:f>IF(COUNT(F47:Q47)=12,SUM(F47:Q47),"")</x:f>
      </x:c>
      <x:c r="E47" s="51"/>
      <x:c r="F47" s="51" t="str">
        <x:f>IF(ISNUMBER('STR Build'!F72),'STR Build'!F72,"")</x:f>
      </x:c>
      <x:c r="G47" s="51" t="str">
        <x:f>IF(ISNUMBER('STR Build'!G72),'STR Build'!G72,"")</x:f>
      </x:c>
      <x:c r="H47" s="51" t="str">
        <x:f>IF(ISNUMBER('STR Build'!H72),'STR Build'!H72,"")</x:f>
      </x:c>
      <x:c r="I47" s="51" t="str">
        <x:f>IF(ISNUMBER('STR Build'!I72),'STR Build'!I72,"")</x:f>
      </x:c>
      <x:c r="J47" s="51" t="str">
        <x:f>IF(ISNUMBER('STR Build'!J72),'STR Build'!J72,"")</x:f>
      </x:c>
      <x:c r="K47" s="51" t="str">
        <x:f>IF(ISNUMBER('STR Build'!K72),'STR Build'!K72,"")</x:f>
      </x:c>
      <x:c r="L47" s="51" t="str">
        <x:f>IF(ISNUMBER('STR Build'!L72),'STR Build'!L72,"")</x:f>
      </x:c>
      <x:c r="M47" s="51" t="str">
        <x:f>IF(ISNUMBER('STR Build'!M72),'STR Build'!M72,"")</x:f>
      </x:c>
      <x:c r="N47" s="51" t="str">
        <x:f>IF(ISNUMBER('STR Build'!N72),'STR Build'!N72,"")</x:f>
      </x:c>
      <x:c r="O47" s="51" t="str">
        <x:f>IF(ISNUMBER('STR Build'!O72),'STR Build'!O72,"")</x:f>
      </x:c>
      <x:c r="P47" s="51" t="str">
        <x:f>IF(ISNUMBER('STR Build'!P72),'STR Build'!P72,"")</x:f>
      </x:c>
      <x:c r="Q47" s="51" t="str">
        <x:f>IF(ISNUMBER('STR Build'!Q72),'STR Build'!Q72,"")</x:f>
      </x:c>
      <x:c r="R47" s="42"/>
      <x:c r="S47" s="42"/>
      <x:c r="T47" s="42"/>
    </x:row>
    <x:row r="48" ht="22" customHeight="1">
      <x:c r="A48" s="42"/>
      <x:c r="B48" s="42"/>
      <x:c r="C48" s="42" t="str">
        <x:v>Original budget net cash flow</x:v>
      </x:c>
      <x:c r="D48" s="51" t="str">
        <x:f>IF(COUNT(F48:Q48)=12,SUM(F48:Q48),"")</x:f>
      </x:c>
      <x:c r="E48" s="51"/>
      <x:c r="F48" s="51" t="str">
        <x:f>IF(ISNUMBER('STR Build'!F73),'STR Build'!F73,"")</x:f>
      </x:c>
      <x:c r="G48" s="51" t="str">
        <x:f>IF(ISNUMBER('STR Build'!G73),'STR Build'!G73,"")</x:f>
      </x:c>
      <x:c r="H48" s="51" t="str">
        <x:f>IF(ISNUMBER('STR Build'!H73),'STR Build'!H73,"")</x:f>
      </x:c>
      <x:c r="I48" s="51" t="str">
        <x:f>IF(ISNUMBER('STR Build'!I73),'STR Build'!I73,"")</x:f>
      </x:c>
      <x:c r="J48" s="51" t="str">
        <x:f>IF(ISNUMBER('STR Build'!J73),'STR Build'!J73,"")</x:f>
      </x:c>
      <x:c r="K48" s="51" t="str">
        <x:f>IF(ISNUMBER('STR Build'!K73),'STR Build'!K73,"")</x:f>
      </x:c>
      <x:c r="L48" s="51" t="str">
        <x:f>IF(ISNUMBER('STR Build'!L73),'STR Build'!L73,"")</x:f>
      </x:c>
      <x:c r="M48" s="51" t="str">
        <x:f>IF(ISNUMBER('STR Build'!M73),'STR Build'!M73,"")</x:f>
      </x:c>
      <x:c r="N48" s="51" t="str">
        <x:f>IF(ISNUMBER('STR Build'!N73),'STR Build'!N73,"")</x:f>
      </x:c>
      <x:c r="O48" s="51" t="str">
        <x:f>IF(ISNUMBER('STR Build'!O73),'STR Build'!O73,"")</x:f>
      </x:c>
      <x:c r="P48" s="51" t="str">
        <x:f>IF(ISNUMBER('STR Build'!P73),'STR Build'!P73,"")</x:f>
      </x:c>
      <x:c r="Q48" s="51" t="str">
        <x:f>IF(ISNUMBER('STR Build'!Q73),'STR Build'!Q73,"")</x:f>
      </x:c>
      <x:c r="R48" s="42"/>
      <x:c r="S48" s="42"/>
      <x:c r="T48" s="42"/>
    </x:row>
    <x:row r="49" ht="22" customHeight="1">
      <x:c r="A49" s="42"/>
      <x:c r="B49" s="42"/>
      <x:c r="C49" s="42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42"/>
      <x:c r="S49" s="42"/>
      <x:c r="T49" s="42"/>
    </x:row>
    <x:row r="50" ht="22" customHeight="1">
      <x:c r="A50" s="42"/>
      <x:c r="B50" s="42"/>
      <x:c r="C50" s="49" t="str">
        <x:v>NOI favorable / (unfavorable) variance</x:v>
      </x:c>
      <x:c r="D50" s="50" t="str">
        <x:f>IF(COUNT(F50:Q50)=12,SUM(F50:Q50),"")</x:f>
      </x:c>
      <x:c r="E50" s="50"/>
      <x:c r="F50" s="50" t="str">
        <x:f>IF(COUNT(F12,F47)=2,F12-F47,"")</x:f>
      </x:c>
      <x:c r="G50" s="50" t="str">
        <x:f>IF(COUNT(G12,G47)=2,G12-G47,"")</x:f>
      </x:c>
      <x:c r="H50" s="50" t="str">
        <x:f>IF(COUNT(H12,H47)=2,H12-H47,"")</x:f>
      </x:c>
      <x:c r="I50" s="50" t="str">
        <x:f>IF(COUNT(I12,I47)=2,I12-I47,"")</x:f>
      </x:c>
      <x:c r="J50" s="50" t="str">
        <x:f>IF(COUNT(J12,J47)=2,J12-J47,"")</x:f>
      </x:c>
      <x:c r="K50" s="50" t="str">
        <x:f>IF(COUNT(K12,K47)=2,K12-K47,"")</x:f>
      </x:c>
      <x:c r="L50" s="50" t="str">
        <x:f>IF(COUNT(L12,L47)=2,L12-L47,"")</x:f>
      </x:c>
      <x:c r="M50" s="50" t="str">
        <x:f>IF(COUNT(M12,M47)=2,M12-M47,"")</x:f>
      </x:c>
      <x:c r="N50" s="50" t="str">
        <x:f>IF(COUNT(N12,N47)=2,N12-N47,"")</x:f>
      </x:c>
      <x:c r="O50" s="50" t="str">
        <x:f>IF(COUNT(O12,O47)=2,O12-O47,"")</x:f>
      </x:c>
      <x:c r="P50" s="50" t="str">
        <x:f>IF(COUNT(P12,P47)=2,P12-P47,"")</x:f>
      </x:c>
      <x:c r="Q50" s="50" t="str">
        <x:f>IF(COUNT(Q12,Q47)=2,Q12-Q47,"")</x:f>
      </x:c>
      <x:c r="R50" s="42"/>
      <x:c r="S50" s="42"/>
      <x:c r="T50" s="42"/>
    </x:row>
    <x:row r="51" ht="22" customHeight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</x:row>
    <x:row r="52" ht="22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</x:row>
    <x:row r="53" ht="22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</x:row>
    <x:row r="54" ht="22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</x:row>
    <x:row r="55" ht="22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</x:row>
    <x:row r="56" ht="22" customHeight="1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</x:row>
    <x:row r="57" ht="22" customHeight="1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</x:row>
    <x:row r="58" ht="22" customHeight="1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</x:row>
    <x:row r="59" ht="22" customHeight="1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</x:row>
    <x:row r="60" ht="22" customHeight="1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</x:row>
    <x:row r="61" ht="22" customHeight="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</x:row>
    <x:row r="62" ht="22" customHeight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</x:row>
    <x:row r="63" ht="22" customHeight="1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</x:row>
    <x:row r="64" ht="22" customHeight="1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</x:row>
    <x:row r="65" ht="22" customHeight="1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</x:row>
    <x:row r="66" ht="22" customHeight="1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</x:row>
    <x:row r="67" ht="22" customHeight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</x:row>
    <x:row r="68" ht="22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</x:row>
    <x:row r="69" ht="22" customHeight="1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</x:row>
    <x:row r="70" ht="22" customHeight="1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</x:row>
    <x:row r="71" ht="22" customHeight="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</x:row>
    <x:row r="72" ht="22" customHeight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</x:row>
    <x:row r="73" ht="22" customHeight="1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</x:row>
    <x:row r="74" ht="22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</x:row>
    <x:row r="75" ht="22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</x:row>
    <x:row r="76" ht="22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</x:row>
    <x:row r="77" ht="22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</x:row>
    <x:row r="78" ht="2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</x:row>
    <x:row r="79" ht="2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</x:row>
    <x:row r="80" ht="2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</x:row>
    <x:row r="81" ht="2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</x:row>
    <x:row r="82" ht="22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</x:row>
    <x:row r="83" ht="22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</x:row>
    <x:row r="84" ht="22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</x:row>
    <x:row r="85" ht="22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</x:row>
    <x:row r="86" ht="22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</x:row>
    <x:row r="87" ht="22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</x:row>
    <x:row r="88" ht="22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</x:row>
    <x:row r="89" ht="22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</x:row>
    <x:row r="90" ht="22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A7F98"/>
  </x:sheetPr>
  <x:sheetViews>
    <x:sheetView showGridLines="0" workbookViewId="0">
      <x:pane xSplit="3" ySplit="25" topLeftCell="D2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25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" hidden="0" customWidth="1"/>
    <x:col min="19" max="19" width="58" hidden="0" customWidth="1"/>
  </x:cols>
  <x:sheetData>
    <x:row r="1" ht="22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22" customHeight="1">
      <x:c r="A2" s="42"/>
      <x:c r="B2" s="42"/>
      <x:c r="C2" s="43" t="str">
        <x:v>Drivers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2"/>
      <x:c r="S2" s="42"/>
      <x:c r="T2" s="42"/>
    </x:row>
    <x:row r="3" ht="22" customHeight="1">
      <x:c r="A3" s="42"/>
      <x:c r="B3" s="42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2"/>
      <x:c r="S3" s="42"/>
      <x:c r="T3" s="42"/>
    </x:row>
    <x:row r="4" ht="22" customHeight="1">
      <x:c r="A4" s="42"/>
      <x:c r="B4" s="42"/>
      <x:c r="C4" s="42" t="str">
        <x:v>Community name</x:v>
      </x:c>
      <x:c r="D4" s="55"/>
      <x:c r="E4" s="42"/>
      <x:c r="F4" s="42" t="str">
        <x:v>Enter yellow inputs. Blue = input, black = formula, green = linked source.</x:v>
      </x:c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</x:row>
    <x:row r="5" ht="22" customHeight="1">
      <x:c r="A5" s="42"/>
      <x:c r="B5" s="42"/>
      <x:c r="C5" s="42" t="str">
        <x:v>Canonical ATLAS community ID</x:v>
      </x:c>
      <x:c r="D5" s="55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</x:row>
    <x:row r="6" ht="22" customHeight="1">
      <x:c r="A6" s="42"/>
      <x:c r="B6" s="42"/>
      <x:c r="C6" s="42" t="str">
        <x:v>Planning start year</x:v>
      </x:c>
      <x:c r="D6" s="56" t="n">
        <x:v>2027</x:v>
      </x:c>
      <x:c r="E6" s="42"/>
      <x:c r="F6" s="42" t="str">
        <x:v>Leave unknown amounts blank. Enter 0 explicitly when a cost or activity is zero.</x:v>
      </x:c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</x:row>
    <x:row r="7" ht="22" customHeight="1">
      <x:c r="A7" s="42"/>
      <x:c r="B7" s="42"/>
      <x:c r="C7" s="42" t="str">
        <x:v>First reporting month (1–12)</x:v>
      </x:c>
      <x:c r="D7" s="56" t="n">
        <x:v>1</x:v>
      </x:c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</x:row>
    <x:row r="8" ht="22" customHeight="1">
      <x:c r="A8" s="42"/>
      <x:c r="B8" s="42"/>
      <x:c r="C8" s="42" t="str">
        <x:v>Currency</x:v>
      </x:c>
      <x:c r="D8" s="55" t="str">
        <x:v>USD</x:v>
      </x:c>
      <x:c r="E8" s="42"/>
      <x:c r="F8" s="42" t="str">
        <x:v>Each month is independent. Copy known assumptions across months when appropriate.</x:v>
      </x:c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</x:row>
    <x:row r="9" ht="22" customHeight="1">
      <x:c r="A9" s="42"/>
      <x:c r="B9" s="42"/>
      <x:c r="C9" s="42" t="str">
        <x:v>Accounting basis</x:v>
      </x:c>
      <x:c r="D9" s="55" t="str">
        <x:v>Accrual</x:v>
      </x:c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</x:row>
    <x:row r="10" ht="22" customHeight="1">
      <x:c r="A10" s="42"/>
      <x:c r="B10" s="42"/>
      <x:c r="C10" s="42" t="str">
        <x:v>Scenario</x:v>
      </x:c>
      <x:c r="D10" s="55" t="str">
        <x:v>Working Draft</x:v>
      </x:c>
      <x:c r="E10" s="42"/>
      <x:c r="F10" s="42" t="str">
        <x:v>Last Closed Month must be the first date of a month, or blank when none is closed.</x:v>
      </x:c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</x:row>
    <x:row r="11" ht="22" customHeight="1">
      <x:c r="A11" s="42"/>
      <x:c r="B11" s="42"/>
      <x:c r="C11" s="42" t="str">
        <x:v>Department</x:v>
      </x:c>
      <x:c r="D11" s="55" t="str">
        <x:v>Short-Term Rentals</x:v>
      </x:c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</x:row>
    <x:row r="12" ht="22" customHeight="1">
      <x:c r="A12" s="42"/>
      <x:c r="B12" s="42"/>
      <x:c r="C12" s="42" t="str">
        <x:v>Last Closed Month</x:v>
      </x:c>
      <x:c r="D12" s="57"/>
      <x:c r="E12" s="42"/>
      <x:c r="F12" s="42" t="str">
        <x:v>Closed actuals require canonical ATLAS versions. This workbook cannot approve a close.</x:v>
      </x:c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</x:row>
    <x:row r="13" ht="22" customHeight="1">
      <x:c r="A13" s="42"/>
      <x:c r="B13" s="42"/>
      <x:c r="C13" s="42" t="str">
        <x:v>Original budget version</x:v>
      </x:c>
      <x:c r="D13" s="55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</x:row>
    <x:row r="14" ht="22" customHeight="1">
      <x:c r="A14" s="42"/>
      <x:c r="B14" s="42"/>
      <x:c r="C14" s="42" t="str">
        <x:v>Original budget content hash</x:v>
      </x:c>
      <x:c r="D14" s="55"/>
      <x:c r="E14" s="42"/>
      <x:c r="F14" s="42" t="str">
        <x:v>Provisional GL codes must be assigned to an authorized ATLAS registry before importing.</x:v>
      </x:c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</x:row>
    <x:row r="15" ht="22" customHeight="1">
      <x:c r="A15" s="42"/>
      <x:c r="B15" s="42"/>
      <x:c r="C15" s="42" t="str">
        <x:v>Mapping registry version</x:v>
      </x:c>
      <x:c r="D15" s="55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</x:row>
    <x:row r="16" ht="22" customHeight="1">
      <x:c r="A16" s="42"/>
      <x:c r="B16" s="42"/>
      <x:c r="C16" s="42" t="str">
        <x:v>Model owner</x:v>
      </x:c>
      <x:c r="D16" s="55"/>
      <x:c r="E16" s="42"/>
      <x:c r="F16" s="42" t="str">
        <x:v>Do not change the reporting year after entering data. Start a fresh copy for a new year.</x:v>
      </x:c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</x:row>
    <x:row r="17" ht="22" customHeight="1">
      <x:c r="A17" s="42"/>
      <x:c r="B17" s="42"/>
      <x:c r="C17" s="42" t="str">
        <x:v>Effective date</x:v>
      </x:c>
      <x:c r="D17" s="58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</x:row>
    <x:row r="18" ht="22" customHeight="1">
      <x:c r="A18" s="42"/>
      <x:c r="B18" s="42"/>
      <x:c r="C18" s="42" t="str">
        <x:v>Mapping review</x:v>
      </x:c>
      <x:c r="D18" s="55" t="str">
        <x:v>Unreviewed</x:v>
      </x:c>
      <x:c r="E18" s="42"/>
      <x:c r="F18" s="42" t="str">
        <x:v>Cash-flow approximation assumes operating receipts/payments in the same month.</x:v>
      </x:c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</x:row>
    <x:row r="19" ht="22" customHeight="1">
      <x:c r="A19" s="42"/>
      <x:c r="B19" s="42"/>
      <x:c r="C19" s="42" t="str">
        <x:v>Adjustment reason</x:v>
      </x:c>
      <x:c r="D19" s="55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</x:row>
    <x:row r="20" ht="22" customHeight="1">
      <x:c r="A20" s="42"/>
      <x:c r="B20" s="42"/>
      <x:c r="C20" s="42" t="str">
        <x:v>Source of driver assumptions</x:v>
      </x:c>
      <x:c r="D20" s="55"/>
      <x:c r="E20" s="42"/>
      <x:c r="F20" s="42" t="str">
        <x:v>Working-capital cash use adjusts timing. Noncash depreciation is excluded.</x:v>
      </x:c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</x:row>
    <x:row r="21" ht="22" customHeight="1">
      <x:c r="A21" s="42"/>
      <x:c r="B21" s="42"/>
      <x:c r="C21" s="42" t="str">
        <x:v>Fiscal/calendar basis</x:v>
      </x:c>
      <x:c r="D21" s="55" t="str">
        <x:v>Calendar</x:v>
      </x:c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</x:row>
    <x:row r="22" ht="22" customHeight="1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</x:row>
    <x:row r="23" ht="22" customHeight="1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</x:row>
    <x:row r="24" ht="22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</x:row>
    <x:row r="25" ht="22" customHeight="1">
      <x:c r="A25" s="42"/>
      <x:c r="B25" s="42"/>
      <x:c r="C25" s="46" t="str">
        <x:v>Measure</x:v>
      </x:c>
      <x:c r="D25" s="46" t="str">
        <x:v>Unit</x:v>
      </x:c>
      <x:c r="E25" s="42"/>
      <x:c r="F25" s="47" t="n">
        <x:f>DATE('Drivers'!$D$6,'Drivers'!$D$7+0,1)</x:f>
        <x:v>46388</x:v>
      </x:c>
      <x:c r="G25" s="47" t="n">
        <x:f>DATE('Drivers'!$D$6,'Drivers'!$D$7+1,1)</x:f>
        <x:v>46419</x:v>
      </x:c>
      <x:c r="H25" s="47" t="n">
        <x:f>DATE('Drivers'!$D$6,'Drivers'!$D$7+2,1)</x:f>
        <x:v>46447</x:v>
      </x:c>
      <x:c r="I25" s="47" t="n">
        <x:f>DATE('Drivers'!$D$6,'Drivers'!$D$7+3,1)</x:f>
        <x:v>46478</x:v>
      </x:c>
      <x:c r="J25" s="47" t="n">
        <x:f>DATE('Drivers'!$D$6,'Drivers'!$D$7+4,1)</x:f>
        <x:v>46508</x:v>
      </x:c>
      <x:c r="K25" s="47" t="n">
        <x:f>DATE('Drivers'!$D$6,'Drivers'!$D$7+5,1)</x:f>
        <x:v>46539</x:v>
      </x:c>
      <x:c r="L25" s="47" t="n">
        <x:f>DATE('Drivers'!$D$6,'Drivers'!$D$7+6,1)</x:f>
        <x:v>46569</x:v>
      </x:c>
      <x:c r="M25" s="47" t="n">
        <x:f>DATE('Drivers'!$D$6,'Drivers'!$D$7+7,1)</x:f>
        <x:v>46600</x:v>
      </x:c>
      <x:c r="N25" s="47" t="n">
        <x:f>DATE('Drivers'!$D$6,'Drivers'!$D$7+8,1)</x:f>
        <x:v>46631</x:v>
      </x:c>
      <x:c r="O25" s="47" t="n">
        <x:f>DATE('Drivers'!$D$6,'Drivers'!$D$7+9,1)</x:f>
        <x:v>46661</x:v>
      </x:c>
      <x:c r="P25" s="47" t="n">
        <x:f>DATE('Drivers'!$D$6,'Drivers'!$D$7+10,1)</x:f>
        <x:v>46692</x:v>
      </x:c>
      <x:c r="Q25" s="47" t="n">
        <x:f>DATE('Drivers'!$D$6,'Drivers'!$D$7+11,1)</x:f>
        <x:v>46722</x:v>
      </x:c>
      <x:c r="R25" s="42"/>
      <x:c r="S25" s="42"/>
      <x:c r="T25" s="42"/>
    </x:row>
    <x:row r="26" ht="22" customHeight="1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</x:row>
    <x:row r="27" ht="22" customHeight="1">
      <x:c r="A27" s="42"/>
      <x:c r="B27" s="42"/>
      <x:c r="C27" s="54" t="str">
        <x:v>Operating drivers</x:v>
      </x:c>
      <x:c r="D27" s="54"/>
      <x:c r="E27" s="54"/>
      <x:c r="F27" s="54"/>
      <x:c r="G27" s="54"/>
      <x:c r="H27" s="54"/>
      <x:c r="I27" s="54"/>
      <x:c r="J27" s="54"/>
      <x:c r="K27" s="54"/>
      <x:c r="L27" s="54"/>
      <x:c r="M27" s="54"/>
      <x:c r="N27" s="54"/>
      <x:c r="O27" s="54"/>
      <x:c r="P27" s="54"/>
      <x:c r="Q27" s="54"/>
      <x:c r="R27" s="42"/>
      <x:c r="S27" s="42"/>
      <x:c r="T27" s="42"/>
    </x:row>
    <x:row r="28" ht="22" customHeight="1">
      <x:c r="A28" s="42"/>
      <x:c r="B28" s="42"/>
      <x:c r="C28" s="42" t="str">
        <x:v>Rentable STR units</x:v>
      </x:c>
      <x:c r="D28" s="42" t="str">
        <x:v>units</x:v>
      </x:c>
      <x:c r="E28" s="42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42"/>
      <x:c r="S28" s="42"/>
      <x:c r="T28" s="42"/>
    </x:row>
    <x:row r="29" ht="22" customHeight="1">
      <x:c r="A29" s="42"/>
      <x:c r="B29" s="42"/>
      <x:c r="C29" s="42" t="str">
        <x:v>Available nights per unit</x:v>
      </x:c>
      <x:c r="D29" s="42" t="str">
        <x:v>nights</x:v>
      </x:c>
      <x:c r="E29" s="42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42"/>
      <x:c r="S29" s="42"/>
      <x:c r="T29" s="42"/>
    </x:row>
    <x:row r="30" ht="22" customHeight="1">
      <x:c r="A30" s="42"/>
      <x:c r="B30" s="42"/>
      <x:c r="C30" s="42" t="str">
        <x:v>Average daily rate</x:v>
      </x:c>
      <x:c r="D30" s="42" t="str">
        <x:v>currency/night</x:v>
      </x:c>
      <x:c r="E30" s="42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42"/>
      <x:c r="S30" s="42"/>
      <x:c r="T30" s="42"/>
    </x:row>
    <x:row r="31" ht="22" customHeight="1">
      <x:c r="A31" s="42"/>
      <x:c r="B31" s="42"/>
      <x:c r="C31" s="42" t="str">
        <x:v>Booked occupancy</x:v>
      </x:c>
      <x:c r="D31" s="42" t="str">
        <x:v>%</x:v>
      </x:c>
      <x:c r="E31" s="42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42"/>
      <x:c r="S31" s="42"/>
      <x:c r="T31" s="42"/>
    </x:row>
    <x:row r="32" ht="22" customHeight="1">
      <x:c r="A32" s="42"/>
      <x:c r="B32" s="42"/>
      <x:c r="C32" s="42" t="str">
        <x:v>Average stay</x:v>
      </x:c>
      <x:c r="D32" s="42" t="str">
        <x:v>nights/stay</x:v>
      </x:c>
      <x:c r="E32" s="42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42"/>
      <x:c r="S32" s="42"/>
      <x:c r="T32" s="42"/>
    </x:row>
    <x:row r="33" ht="22" customHeight="1">
      <x:c r="A33" s="42"/>
      <x:c r="B33" s="42"/>
      <x:c r="C33" s="42" t="str">
        <x:v>Channel booking share</x:v>
      </x:c>
      <x:c r="D33" s="42" t="str">
        <x:v>%</x:v>
      </x:c>
      <x:c r="E33" s="42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42"/>
      <x:c r="S33" s="42"/>
      <x:c r="T33" s="42"/>
    </x:row>
    <x:row r="34" ht="22" customHeight="1">
      <x:c r="A34" s="42"/>
      <x:c r="B34" s="42"/>
      <x:c r="C34" s="42" t="str">
        <x:v>Channel commission rate</x:v>
      </x:c>
      <x:c r="D34" s="42" t="str">
        <x:v>%</x:v>
      </x:c>
      <x:c r="E34" s="42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42"/>
      <x:c r="S34" s="42"/>
      <x:c r="T34" s="42"/>
    </x:row>
    <x:row r="35" ht="22" customHeight="1">
      <x:c r="A35" s="42"/>
      <x:c r="B35" s="42"/>
      <x:c r="C35" s="42" t="str">
        <x:v>Cleaning charge per stay</x:v>
      </x:c>
      <x:c r="D35" s="42" t="str">
        <x:v>currency/stay</x:v>
      </x:c>
      <x:c r="E35" s="42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42"/>
      <x:c r="S35" s="42"/>
      <x:c r="T35" s="42"/>
    </x:row>
    <x:row r="36" ht="22" customHeight="1">
      <x:c r="A36" s="42"/>
      <x:c r="B36" s="42"/>
      <x:c r="C36" s="42" t="str">
        <x:v>Cleaning cost per stay</x:v>
      </x:c>
      <x:c r="D36" s="42" t="str">
        <x:v>currency/stay</x:v>
      </x:c>
      <x:c r="E36" s="42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42"/>
      <x:c r="S36" s="42"/>
      <x:c r="T36" s="42"/>
    </x:row>
    <x:row r="37" ht="22" customHeight="1">
      <x:c r="A37" s="42"/>
      <x:c r="B37" s="42"/>
      <x:c r="C37" s="42" t="str">
        <x:v>Other guest fee per stay</x:v>
      </x:c>
      <x:c r="D37" s="42" t="str">
        <x:v>currency/stay</x:v>
      </x:c>
      <x:c r="E37" s="42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42"/>
      <x:c r="S37" s="42"/>
      <x:c r="T37" s="42"/>
    </x:row>
    <x:row r="38" ht="22" customHeight="1">
      <x:c r="A38" s="42"/>
      <x:c r="B38" s="42"/>
      <x:c r="C38" s="42" t="str">
        <x:v>Property-borne lodging tax</x:v>
      </x:c>
      <x:c r="D38" s="42" t="str">
        <x:v>% of lodging</x:v>
      </x:c>
      <x:c r="E38" s="42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42"/>
      <x:c r="S38" s="42"/>
      <x:c r="T38" s="42"/>
    </x:row>
    <x:row r="39" ht="22" customHeight="1">
      <x:c r="A39" s="42"/>
      <x:c r="B39" s="42"/>
      <x:c r="C39" s="42" t="str">
        <x:v>Refunds and discounts</x:v>
      </x:c>
      <x:c r="D39" s="42" t="str">
        <x:v>% of lodging</x:v>
      </x:c>
      <x:c r="E39" s="42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42"/>
      <x:c r="S39" s="42"/>
      <x:c r="T39" s="42"/>
    </x:row>
    <x:row r="40" ht="22" customHeight="1">
      <x:c r="A40" s="42"/>
      <x:c r="B40" s="42"/>
      <x:c r="C40" s="42" t="str">
        <x:v>Bad debt</x:v>
      </x:c>
      <x:c r="D40" s="42" t="str">
        <x:v>% of lodging</x:v>
      </x:c>
      <x:c r="E40" s="42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/>
      <x:c r="P40" s="60"/>
      <x:c r="Q40" s="60"/>
      <x:c r="R40" s="42"/>
      <x:c r="S40" s="42"/>
      <x:c r="T40" s="42"/>
    </x:row>
    <x:row r="41" ht="22" customHeight="1">
      <x:c r="A41" s="42"/>
      <x:c r="B41" s="42"/>
      <x:c r="C41" s="42" t="str">
        <x:v>Variable supplies</x:v>
      </x:c>
      <x:c r="D41" s="42" t="str">
        <x:v>currency/night</x:v>
      </x:c>
      <x:c r="E41" s="42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42"/>
      <x:c r="S41" s="42"/>
      <x:c r="T41" s="42"/>
    </x:row>
    <x:row r="42" ht="22" customHeight="1">
      <x:c r="A42" s="42"/>
      <x:c r="B42" s="42"/>
      <x:c r="C42" s="42" t="str">
        <x:v>Payroll and employer costs</x:v>
      </x:c>
      <x:c r="D42" s="42" t="str">
        <x:v>currency/month</x:v>
      </x:c>
      <x:c r="E42" s="42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42"/>
      <x:c r="S42" s="42"/>
      <x:c r="T42" s="42"/>
    </x:row>
    <x:row r="43" ht="22" customHeight="1">
      <x:c r="A43" s="42"/>
      <x:c r="B43" s="42"/>
      <x:c r="C43" s="42" t="str">
        <x:v>Utilities</x:v>
      </x:c>
      <x:c r="D43" s="42" t="str">
        <x:v>currency/month</x:v>
      </x:c>
      <x:c r="E43" s="42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42"/>
      <x:c r="S43" s="42"/>
      <x:c r="T43" s="42"/>
    </x:row>
    <x:row r="44" ht="22" customHeight="1">
      <x:c r="A44" s="42"/>
      <x:c r="B44" s="42"/>
      <x:c r="C44" s="42" t="str">
        <x:v>Contracts</x:v>
      </x:c>
      <x:c r="D44" s="42" t="str">
        <x:v>currency/month</x:v>
      </x:c>
      <x:c r="E44" s="42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42"/>
      <x:c r="S44" s="42"/>
      <x:c r="T44" s="42"/>
    </x:row>
    <x:row r="45" ht="22" customHeight="1">
      <x:c r="A45" s="42"/>
      <x:c r="B45" s="42"/>
      <x:c r="C45" s="42" t="str">
        <x:v>Marketing</x:v>
      </x:c>
      <x:c r="D45" s="42" t="str">
        <x:v>currency/month</x:v>
      </x:c>
      <x:c r="E45" s="42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42"/>
      <x:c r="S45" s="42"/>
      <x:c r="T45" s="42"/>
    </x:row>
    <x:row r="46" ht="22" customHeight="1">
      <x:c r="A46" s="42"/>
      <x:c r="B46" s="42"/>
      <x:c r="C46" s="42" t="str">
        <x:v>Maintenance fixed costs</x:v>
      </x:c>
      <x:c r="D46" s="42" t="str">
        <x:v>currency/month</x:v>
      </x:c>
      <x:c r="E46" s="42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42"/>
      <x:c r="S46" s="42"/>
      <x:c r="T46" s="42"/>
    </x:row>
    <x:row r="47" ht="22" customHeight="1">
      <x:c r="A47" s="42"/>
      <x:c r="B47" s="42"/>
      <x:c r="C47" s="42" t="str">
        <x:v>Insurance</x:v>
      </x:c>
      <x:c r="D47" s="42" t="str">
        <x:v>currency/month</x:v>
      </x:c>
      <x:c r="E47" s="42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42"/>
      <x:c r="S47" s="42"/>
      <x:c r="T47" s="42"/>
    </x:row>
    <x:row r="48" ht="22" customHeight="1">
      <x:c r="A48" s="42"/>
      <x:c r="B48" s="42"/>
      <x:c r="C48" s="42" t="str">
        <x:v>Property taxes</x:v>
      </x:c>
      <x:c r="D48" s="42" t="str">
        <x:v>currency/month</x:v>
      </x:c>
      <x:c r="E48" s="42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42"/>
      <x:c r="S48" s="42"/>
      <x:c r="T48" s="42"/>
    </x:row>
    <x:row r="49" ht="22" customHeight="1">
      <x:c r="A49" s="42"/>
      <x:c r="B49" s="42"/>
      <x:c r="C49" s="42" t="str">
        <x:v>Other operating expenses</x:v>
      </x:c>
      <x:c r="D49" s="42" t="str">
        <x:v>currency/month</x:v>
      </x:c>
      <x:c r="E49" s="42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42"/>
      <x:c r="S49" s="42"/>
      <x:c r="T49" s="42"/>
    </x:row>
    <x:row r="50" ht="22" customHeight="1">
      <x:c r="A50" s="42"/>
      <x:c r="B50" s="42"/>
      <x:c r="C50" s="42" t="str">
        <x:v>Other below-NOI cash costs</x:v>
      </x:c>
      <x:c r="D50" s="42" t="str">
        <x:v>currency/month</x:v>
      </x:c>
      <x:c r="E50" s="42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42"/>
      <x:c r="S50" s="42"/>
      <x:c r="T50" s="42"/>
    </x:row>
    <x:row r="51" ht="22" customHeight="1">
      <x:c r="A51" s="42"/>
      <x:c r="B51" s="42"/>
      <x:c r="C51" s="42" t="str">
        <x:v>Debt interest</x:v>
      </x:c>
      <x:c r="D51" s="42" t="str">
        <x:v>currency/month</x:v>
      </x:c>
      <x:c r="E51" s="42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42"/>
      <x:c r="S51" s="42"/>
      <x:c r="T51" s="42"/>
    </x:row>
    <x:row r="52" ht="22" customHeight="1">
      <x:c r="A52" s="42"/>
      <x:c r="B52" s="42"/>
      <x:c r="C52" s="42" t="str">
        <x:v>Debt principal</x:v>
      </x:c>
      <x:c r="D52" s="42" t="str">
        <x:v>currency/month</x:v>
      </x:c>
      <x:c r="E52" s="42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42"/>
      <x:c r="S52" s="42"/>
      <x:c r="T52" s="42"/>
    </x:row>
    <x:row r="53" ht="22" customHeight="1">
      <x:c r="A53" s="42"/>
      <x:c r="B53" s="42"/>
      <x:c r="C53" s="42" t="str">
        <x:v>Capital expenditure</x:v>
      </x:c>
      <x:c r="D53" s="42" t="str">
        <x:v>currency/month</x:v>
      </x:c>
      <x:c r="E53" s="42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42"/>
      <x:c r="S53" s="42"/>
      <x:c r="T53" s="42"/>
    </x:row>
    <x:row r="54" ht="22" customHeight="1">
      <x:c r="A54" s="42"/>
      <x:c r="B54" s="42"/>
      <x:c r="C54" s="42" t="str">
        <x:v>Working-capital cash use</x:v>
      </x:c>
      <x:c r="D54" s="42" t="str">
        <x:v>currency/month</x:v>
      </x:c>
      <x:c r="E54" s="42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42"/>
      <x:c r="S54" s="42"/>
      <x:c r="T54" s="42"/>
    </x:row>
    <x:row r="55" ht="22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</x:row>
    <x:row r="56" ht="22" customHeight="1">
      <x:c r="A56" s="42"/>
      <x:c r="B56" s="42"/>
      <x:c r="C56" s="54" t="str">
        <x:v>Driver definitions</x:v>
      </x:c>
      <x:c r="D56" s="54"/>
      <x:c r="E56" s="54"/>
      <x:c r="F56" s="54"/>
      <x:c r="G56" s="54"/>
      <x:c r="H56" s="54"/>
      <x:c r="I56" s="54"/>
      <x:c r="J56" s="54"/>
      <x:c r="K56" s="54"/>
      <x:c r="L56" s="54"/>
      <x:c r="M56" s="54"/>
      <x:c r="N56" s="54"/>
      <x:c r="O56" s="54"/>
      <x:c r="P56" s="54"/>
      <x:c r="Q56" s="54"/>
      <x:c r="R56" s="42"/>
      <x:c r="S56" s="42"/>
      <x:c r="T56" s="42"/>
    </x:row>
    <x:row r="57" ht="22" customHeight="1">
      <x:c r="A57" s="42"/>
      <x:c r="B57" s="42"/>
      <x:c r="C57" s="42" t="str">
        <x:v>Lodging revenue = booked unit-nights × ADR. Fractional expected nights/stays are retained.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</x:row>
    <x:row r="58" ht="22" customHeight="1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</x:row>
    <x:row r="59" ht="22" customHeight="1">
      <x:c r="A59" s="42"/>
      <x:c r="B59" s="42"/>
      <x:c r="C59" s="42" t="str">
        <x:v>Commissions, lodging taxes, refunds and bad debt use gross lodging revenue only.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</x:row>
    <x:row r="60" ht="22" customHeight="1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</x:row>
    <x:row r="61" ht="22" customHeight="1">
      <x:c r="A61" s="42"/>
      <x:c r="B61" s="42"/>
      <x:c r="C61" s="42" t="str">
        <x:v>Guest-collected taxes are excluded. Enter only taxes borne by the property as a cost.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</x:row>
    <x:row r="62" ht="22" customHeight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</x:row>
    <x:row r="63" ht="22" customHeight="1">
      <x:c r="A63" s="42"/>
      <x:c r="B63" s="42"/>
      <x:c r="C63" s="42" t="str">
        <x:v>Cleaning income and guest fees use expected stays. Cleaning cost uses the same stay count.</x:v>
      </x:c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</x:row>
    <x:row r="64" ht="22" customHeight="1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</x:row>
    <x:row r="65" ht="22" customHeight="1">
      <x:c r="A65" s="42"/>
      <x:c r="B65" s="42"/>
      <x:c r="C65" s="42" t="str">
        <x:v>Working-capital use is positive for cash outflow and negative for cash release.</x:v>
      </x:c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</x:row>
    <x:row r="66" ht="22" customHeight="1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</x:row>
    <x:row r="67" ht="22" customHeight="1">
      <x:c r="A67" s="42"/>
      <x:c r="B67" s="42"/>
      <x:c r="C67" s="42" t="str">
        <x:v>Break-even occupancy covers operating expenses before debt, capital and other below-NOI costs.</x:v>
      </x:c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</x:row>
    <x:row r="68" ht="22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</x:row>
    <x:row r="69" ht="22" customHeight="1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</x:row>
    <x:row r="70" ht="22" customHeight="1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</x:row>
    <x:row r="71" ht="22" customHeight="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</x:row>
    <x:row r="72" ht="22" customHeight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</x:row>
    <x:row r="73" ht="22" customHeight="1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</x:row>
    <x:row r="74" ht="22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</x:row>
    <x:row r="75" ht="22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</x:row>
    <x:row r="76" ht="22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</x:row>
    <x:row r="77" ht="22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</x:row>
    <x:row r="78" ht="2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</x:row>
    <x:row r="79" ht="2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</x:row>
    <x:row r="80" ht="2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</x:row>
    <x:row r="81" ht="2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</x:row>
    <x:row r="82" ht="22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</x:row>
    <x:row r="83" ht="22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</x:row>
    <x:row r="84" ht="22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</x:row>
    <x:row r="85" ht="22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</x:row>
    <x:row r="86" ht="22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</x:row>
    <x:row r="87" ht="22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</x:row>
    <x:row r="88" ht="22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</x:row>
    <x:row r="89" ht="22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</x:row>
    <x:row r="90" ht="22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</x:row>
  </x:sheetData>
  <x:dataValidations count="33">
    <x:dataValidation type="list" sqref="D9">
      <x:formula1>"Accrual,Cash"</x:formula1>
    </x:dataValidation>
    <x:dataValidation type="list" sqref="D18">
      <x:formula1>"Unreviewed,Reviewed in ATLAS"</x:formula1>
    </x:dataValidation>
    <x:dataValidation type="list" sqref="D21">
      <x:formula1>"Calendar,Fiscal"</x:formula1>
    </x:dataValidation>
    <x:dataValidation type="whole" operator="between" sqref="D6">
      <x:formula1>2020</x:formula1>
      <x:formula2>2099</x:formula2>
    </x:dataValidation>
    <x:dataValidation type="whole" operator="between" sqref="D7">
      <x:formula1>1</x:formula1>
      <x:formula2>12</x:formula2>
    </x:dataValidation>
    <x:dataValidation type="decimal" operator="between" sqref="F28:Q28">
      <x:formula1>0</x:formula1>
      <x:formula2>100000000</x:formula2>
    </x:dataValidation>
    <x:dataValidation type="decimal" operator="between" sqref="F29:Q29">
      <x:formula1>0</x:formula1>
      <x:formula2>100000000</x:formula2>
    </x:dataValidation>
    <x:dataValidation type="decimal" operator="between" sqref="F30:Q30">
      <x:formula1>0</x:formula1>
      <x:formula2>100000000</x:formula2>
    </x:dataValidation>
    <x:dataValidation type="decimal" operator="between" sqref="F31:Q31">
      <x:formula1>0</x:formula1>
      <x:formula2>1</x:formula2>
    </x:dataValidation>
    <x:dataValidation type="decimal" operator="between" sqref="F32:Q32">
      <x:formula1>0</x:formula1>
      <x:formula2>100000000</x:formula2>
    </x:dataValidation>
    <x:dataValidation type="decimal" operator="between" sqref="F33:Q33">
      <x:formula1>0</x:formula1>
      <x:formula2>1</x:formula2>
    </x:dataValidation>
    <x:dataValidation type="decimal" operator="between" sqref="F34:Q34">
      <x:formula1>0</x:formula1>
      <x:formula2>1</x:formula2>
    </x:dataValidation>
    <x:dataValidation type="decimal" operator="between" sqref="F35:Q35">
      <x:formula1>0</x:formula1>
      <x:formula2>100000000</x:formula2>
    </x:dataValidation>
    <x:dataValidation type="decimal" operator="between" sqref="F36:Q36">
      <x:formula1>0</x:formula1>
      <x:formula2>100000000</x:formula2>
    </x:dataValidation>
    <x:dataValidation type="decimal" operator="between" sqref="F37:Q37">
      <x:formula1>0</x:formula1>
      <x:formula2>100000000</x:formula2>
    </x:dataValidation>
    <x:dataValidation type="decimal" operator="between" sqref="F38:Q38">
      <x:formula1>0</x:formula1>
      <x:formula2>1</x:formula2>
    </x:dataValidation>
    <x:dataValidation type="decimal" operator="between" sqref="F39:Q39">
      <x:formula1>0</x:formula1>
      <x:formula2>1</x:formula2>
    </x:dataValidation>
    <x:dataValidation type="decimal" operator="between" sqref="F40:Q40">
      <x:formula1>0</x:formula1>
      <x:formula2>1</x:formula2>
    </x:dataValidation>
    <x:dataValidation type="decimal" operator="between" sqref="F41:Q41">
      <x:formula1>0</x:formula1>
      <x:formula2>100000000</x:formula2>
    </x:dataValidation>
    <x:dataValidation type="decimal" operator="between" sqref="F42:Q42">
      <x:formula1>0</x:formula1>
      <x:formula2>100000000</x:formula2>
    </x:dataValidation>
    <x:dataValidation type="decimal" operator="between" sqref="F43:Q43">
      <x:formula1>0</x:formula1>
      <x:formula2>100000000</x:formula2>
    </x:dataValidation>
    <x:dataValidation type="decimal" operator="between" sqref="F44:Q44">
      <x:formula1>0</x:formula1>
      <x:formula2>100000000</x:formula2>
    </x:dataValidation>
    <x:dataValidation type="decimal" operator="between" sqref="F45:Q45">
      <x:formula1>0</x:formula1>
      <x:formula2>100000000</x:formula2>
    </x:dataValidation>
    <x:dataValidation type="decimal" operator="between" sqref="F46:Q46">
      <x:formula1>0</x:formula1>
      <x:formula2>100000000</x:formula2>
    </x:dataValidation>
    <x:dataValidation type="decimal" operator="between" sqref="F47:Q47">
      <x:formula1>0</x:formula1>
      <x:formula2>100000000</x:formula2>
    </x:dataValidation>
    <x:dataValidation type="decimal" operator="between" sqref="F48:Q48">
      <x:formula1>0</x:formula1>
      <x:formula2>100000000</x:formula2>
    </x:dataValidation>
    <x:dataValidation type="decimal" operator="between" sqref="F49:Q49">
      <x:formula1>0</x:formula1>
      <x:formula2>100000000</x:formula2>
    </x:dataValidation>
    <x:dataValidation type="decimal" operator="between" sqref="F50:Q50">
      <x:formula1>0</x:formula1>
      <x:formula2>100000000</x:formula2>
    </x:dataValidation>
    <x:dataValidation type="decimal" operator="between" sqref="F51:Q51">
      <x:formula1>0</x:formula1>
      <x:formula2>100000000</x:formula2>
    </x:dataValidation>
    <x:dataValidation type="decimal" operator="between" sqref="F52:Q52">
      <x:formula1>0</x:formula1>
      <x:formula2>100000000</x:formula2>
    </x:dataValidation>
    <x:dataValidation type="decimal" operator="between" sqref="F53:Q53">
      <x:formula1>0</x:formula1>
      <x:formula2>100000000</x:formula2>
    </x:dataValidation>
    <x:dataValidation type="decimal" operator="between" sqref="F54:Q54">
      <x:formula1>-100000000</x:formula1>
      <x:formula2>100000000</x:formula2>
    </x:dataValidation>
    <x:dataValidation type="whole" operator="between" sqref="F28:Q28">
      <x:formula1>0</x:formula1>
      <x:formula2>100000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" hidden="0" customWidth="1"/>
    <x:col min="19" max="19" width="58" hidden="0" customWidth="1"/>
  </x:cols>
  <x:sheetData>
    <x:row r="1" ht="22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22" customHeight="1">
      <x:c r="A2" s="42"/>
      <x:c r="B2" s="42"/>
      <x:c r="C2" s="43" t="str">
        <x:v>STR Build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2"/>
      <x:c r="S2" s="42"/>
      <x:c r="T2" s="42"/>
    </x:row>
    <x:row r="3" ht="22" customHeight="1">
      <x:c r="A3" s="42"/>
      <x:c r="B3" s="42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2"/>
      <x:c r="S3" s="42"/>
      <x:c r="T3" s="42"/>
    </x:row>
    <x:row r="4" ht="22" customHeight="1">
      <x:c r="A4" s="42"/>
      <x:c r="B4" s="42"/>
      <x:c r="C4" s="42" t="str">
        <x:v>Scenario</x:v>
      </x:c>
      <x:c r="D4" s="45" t="str">
        <x:f>'Drivers'!D10</x:f>
        <x:v>Working Draft</x:v>
      </x:c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</x:row>
    <x:row r="5" ht="22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</x:row>
    <x:row r="6" ht="22" customHeight="1">
      <x:c r="A6" s="42"/>
      <x:c r="B6" s="42"/>
      <x:c r="C6" s="46" t="str">
        <x:v>Measure</x:v>
      </x:c>
      <x:c r="D6" s="46" t="str">
        <x:v>Annual</x:v>
      </x:c>
      <x:c r="E6" s="42"/>
      <x:c r="F6" s="47" t="n">
        <x:f>DATE('Drivers'!$D$6,'Drivers'!$D$7+0,1)</x:f>
        <x:v>46388</x:v>
      </x:c>
      <x:c r="G6" s="47" t="n">
        <x:f>DATE('Drivers'!$D$6,'Drivers'!$D$7+1,1)</x:f>
        <x:v>46419</x:v>
      </x:c>
      <x:c r="H6" s="47" t="n">
        <x:f>DATE('Drivers'!$D$6,'Drivers'!$D$7+2,1)</x:f>
        <x:v>46447</x:v>
      </x:c>
      <x:c r="I6" s="47" t="n">
        <x:f>DATE('Drivers'!$D$6,'Drivers'!$D$7+3,1)</x:f>
        <x:v>46478</x:v>
      </x:c>
      <x:c r="J6" s="47" t="n">
        <x:f>DATE('Drivers'!$D$6,'Drivers'!$D$7+4,1)</x:f>
        <x:v>46508</x:v>
      </x:c>
      <x:c r="K6" s="47" t="n">
        <x:f>DATE('Drivers'!$D$6,'Drivers'!$D$7+5,1)</x:f>
        <x:v>46539</x:v>
      </x:c>
      <x:c r="L6" s="47" t="n">
        <x:f>DATE('Drivers'!$D$6,'Drivers'!$D$7+6,1)</x:f>
        <x:v>46569</x:v>
      </x:c>
      <x:c r="M6" s="47" t="n">
        <x:f>DATE('Drivers'!$D$6,'Drivers'!$D$7+7,1)</x:f>
        <x:v>46600</x:v>
      </x:c>
      <x:c r="N6" s="47" t="n">
        <x:f>DATE('Drivers'!$D$6,'Drivers'!$D$7+8,1)</x:f>
        <x:v>46631</x:v>
      </x:c>
      <x:c r="O6" s="47" t="n">
        <x:f>DATE('Drivers'!$D$6,'Drivers'!$D$7+9,1)</x:f>
        <x:v>46661</x:v>
      </x:c>
      <x:c r="P6" s="47" t="n">
        <x:f>DATE('Drivers'!$D$6,'Drivers'!$D$7+10,1)</x:f>
        <x:v>46692</x:v>
      </x:c>
      <x:c r="Q6" s="47" t="n">
        <x:f>DATE('Drivers'!$D$6,'Drivers'!$D$7+11,1)</x:f>
        <x:v>46722</x:v>
      </x:c>
      <x:c r="R6" s="42"/>
      <x:c r="S6" s="42"/>
      <x:c r="T6" s="42"/>
    </x:row>
    <x:row r="7" ht="22" customHeight="1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</x:row>
    <x:row r="8" ht="22" customHeight="1">
      <x:c r="A8" s="42"/>
      <x:c r="B8" s="42"/>
      <x:c r="C8" s="42" t="str">
        <x:v>Rentable STR units</x:v>
      </x:c>
      <x:c r="D8" s="51"/>
      <x:c r="E8" s="51"/>
      <x:c r="F8" s="61" t="str">
        <x:f>IF(ISNUMBER('Drivers'!F28),'Drivers'!F28,"")</x:f>
      </x:c>
      <x:c r="G8" s="61" t="str">
        <x:f>IF(ISNUMBER('Drivers'!G28),'Drivers'!G28,"")</x:f>
      </x:c>
      <x:c r="H8" s="61" t="str">
        <x:f>IF(ISNUMBER('Drivers'!H28),'Drivers'!H28,"")</x:f>
      </x:c>
      <x:c r="I8" s="61" t="str">
        <x:f>IF(ISNUMBER('Drivers'!I28),'Drivers'!I28,"")</x:f>
      </x:c>
      <x:c r="J8" s="61" t="str">
        <x:f>IF(ISNUMBER('Drivers'!J28),'Drivers'!J28,"")</x:f>
      </x:c>
      <x:c r="K8" s="61" t="str">
        <x:f>IF(ISNUMBER('Drivers'!K28),'Drivers'!K28,"")</x:f>
      </x:c>
      <x:c r="L8" s="61" t="str">
        <x:f>IF(ISNUMBER('Drivers'!L28),'Drivers'!L28,"")</x:f>
      </x:c>
      <x:c r="M8" s="61" t="str">
        <x:f>IF(ISNUMBER('Drivers'!M28),'Drivers'!M28,"")</x:f>
      </x:c>
      <x:c r="N8" s="61" t="str">
        <x:f>IF(ISNUMBER('Drivers'!N28),'Drivers'!N28,"")</x:f>
      </x:c>
      <x:c r="O8" s="61" t="str">
        <x:f>IF(ISNUMBER('Drivers'!O28),'Drivers'!O28,"")</x:f>
      </x:c>
      <x:c r="P8" s="61" t="str">
        <x:f>IF(ISNUMBER('Drivers'!P28),'Drivers'!P28,"")</x:f>
      </x:c>
      <x:c r="Q8" s="61" t="str">
        <x:f>IF(ISNUMBER('Drivers'!Q28),'Drivers'!Q28,"")</x:f>
      </x:c>
      <x:c r="R8" s="42"/>
      <x:c r="S8" s="42"/>
      <x:c r="T8" s="42"/>
    </x:row>
    <x:row r="9" ht="22" customHeight="1">
      <x:c r="A9" s="42"/>
      <x:c r="B9" s="42"/>
      <x:c r="C9" s="42" t="str">
        <x:v>Available nights per unit</x:v>
      </x:c>
      <x:c r="D9" s="51"/>
      <x:c r="E9" s="51"/>
      <x:c r="F9" s="61" t="str">
        <x:f>IF(ISNUMBER('Drivers'!F29),'Drivers'!F29,"")</x:f>
      </x:c>
      <x:c r="G9" s="61" t="str">
        <x:f>IF(ISNUMBER('Drivers'!G29),'Drivers'!G29,"")</x:f>
      </x:c>
      <x:c r="H9" s="61" t="str">
        <x:f>IF(ISNUMBER('Drivers'!H29),'Drivers'!H29,"")</x:f>
      </x:c>
      <x:c r="I9" s="61" t="str">
        <x:f>IF(ISNUMBER('Drivers'!I29),'Drivers'!I29,"")</x:f>
      </x:c>
      <x:c r="J9" s="61" t="str">
        <x:f>IF(ISNUMBER('Drivers'!J29),'Drivers'!J29,"")</x:f>
      </x:c>
      <x:c r="K9" s="61" t="str">
        <x:f>IF(ISNUMBER('Drivers'!K29),'Drivers'!K29,"")</x:f>
      </x:c>
      <x:c r="L9" s="61" t="str">
        <x:f>IF(ISNUMBER('Drivers'!L29),'Drivers'!L29,"")</x:f>
      </x:c>
      <x:c r="M9" s="61" t="str">
        <x:f>IF(ISNUMBER('Drivers'!M29),'Drivers'!M29,"")</x:f>
      </x:c>
      <x:c r="N9" s="61" t="str">
        <x:f>IF(ISNUMBER('Drivers'!N29),'Drivers'!N29,"")</x:f>
      </x:c>
      <x:c r="O9" s="61" t="str">
        <x:f>IF(ISNUMBER('Drivers'!O29),'Drivers'!O29,"")</x:f>
      </x:c>
      <x:c r="P9" s="61" t="str">
        <x:f>IF(ISNUMBER('Drivers'!P29),'Drivers'!P29,"")</x:f>
      </x:c>
      <x:c r="Q9" s="61" t="str">
        <x:f>IF(ISNUMBER('Drivers'!Q29),'Drivers'!Q29,"")</x:f>
      </x:c>
      <x:c r="R9" s="42"/>
      <x:c r="S9" s="42"/>
      <x:c r="T9" s="42"/>
    </x:row>
    <x:row r="10" ht="22" customHeight="1">
      <x:c r="A10" s="42"/>
      <x:c r="B10" s="42"/>
      <x:c r="C10" s="42" t="str">
        <x:v>Average daily rate</x:v>
      </x:c>
      <x:c r="D10" s="51"/>
      <x:c r="E10" s="51"/>
      <x:c r="F10" s="61" t="str">
        <x:f>IF(ISNUMBER('Drivers'!F30),'Drivers'!F30,"")</x:f>
      </x:c>
      <x:c r="G10" s="61" t="str">
        <x:f>IF(ISNUMBER('Drivers'!G30),'Drivers'!G30,"")</x:f>
      </x:c>
      <x:c r="H10" s="61" t="str">
        <x:f>IF(ISNUMBER('Drivers'!H30),'Drivers'!H30,"")</x:f>
      </x:c>
      <x:c r="I10" s="61" t="str">
        <x:f>IF(ISNUMBER('Drivers'!I30),'Drivers'!I30,"")</x:f>
      </x:c>
      <x:c r="J10" s="61" t="str">
        <x:f>IF(ISNUMBER('Drivers'!J30),'Drivers'!J30,"")</x:f>
      </x:c>
      <x:c r="K10" s="61" t="str">
        <x:f>IF(ISNUMBER('Drivers'!K30),'Drivers'!K30,"")</x:f>
      </x:c>
      <x:c r="L10" s="61" t="str">
        <x:f>IF(ISNUMBER('Drivers'!L30),'Drivers'!L30,"")</x:f>
      </x:c>
      <x:c r="M10" s="61" t="str">
        <x:f>IF(ISNUMBER('Drivers'!M30),'Drivers'!M30,"")</x:f>
      </x:c>
      <x:c r="N10" s="61" t="str">
        <x:f>IF(ISNUMBER('Drivers'!N30),'Drivers'!N30,"")</x:f>
      </x:c>
      <x:c r="O10" s="61" t="str">
        <x:f>IF(ISNUMBER('Drivers'!O30),'Drivers'!O30,"")</x:f>
      </x:c>
      <x:c r="P10" s="61" t="str">
        <x:f>IF(ISNUMBER('Drivers'!P30),'Drivers'!P30,"")</x:f>
      </x:c>
      <x:c r="Q10" s="61" t="str">
        <x:f>IF(ISNUMBER('Drivers'!Q30),'Drivers'!Q30,"")</x:f>
      </x:c>
      <x:c r="R10" s="42"/>
      <x:c r="S10" s="42"/>
      <x:c r="T10" s="42"/>
    </x:row>
    <x:row r="11" ht="22" customHeight="1">
      <x:c r="A11" s="42"/>
      <x:c r="B11" s="42"/>
      <x:c r="C11" s="42" t="str">
        <x:v>Booked occupancy</x:v>
      </x:c>
      <x:c r="D11" s="51"/>
      <x:c r="E11" s="51"/>
      <x:c r="F11" s="62" t="str">
        <x:f>IF(ISNUMBER('Drivers'!F31),'Drivers'!F31,"")</x:f>
      </x:c>
      <x:c r="G11" s="62" t="str">
        <x:f>IF(ISNUMBER('Drivers'!G31),'Drivers'!G31,"")</x:f>
      </x:c>
      <x:c r="H11" s="62" t="str">
        <x:f>IF(ISNUMBER('Drivers'!H31),'Drivers'!H31,"")</x:f>
      </x:c>
      <x:c r="I11" s="62" t="str">
        <x:f>IF(ISNUMBER('Drivers'!I31),'Drivers'!I31,"")</x:f>
      </x:c>
      <x:c r="J11" s="62" t="str">
        <x:f>IF(ISNUMBER('Drivers'!J31),'Drivers'!J31,"")</x:f>
      </x:c>
      <x:c r="K11" s="62" t="str">
        <x:f>IF(ISNUMBER('Drivers'!K31),'Drivers'!K31,"")</x:f>
      </x:c>
      <x:c r="L11" s="62" t="str">
        <x:f>IF(ISNUMBER('Drivers'!L31),'Drivers'!L31,"")</x:f>
      </x:c>
      <x:c r="M11" s="62" t="str">
        <x:f>IF(ISNUMBER('Drivers'!M31),'Drivers'!M31,"")</x:f>
      </x:c>
      <x:c r="N11" s="62" t="str">
        <x:f>IF(ISNUMBER('Drivers'!N31),'Drivers'!N31,"")</x:f>
      </x:c>
      <x:c r="O11" s="62" t="str">
        <x:f>IF(ISNUMBER('Drivers'!O31),'Drivers'!O31,"")</x:f>
      </x:c>
      <x:c r="P11" s="62" t="str">
        <x:f>IF(ISNUMBER('Drivers'!P31),'Drivers'!P31,"")</x:f>
      </x:c>
      <x:c r="Q11" s="62" t="str">
        <x:f>IF(ISNUMBER('Drivers'!Q31),'Drivers'!Q31,"")</x:f>
      </x:c>
      <x:c r="R11" s="42"/>
      <x:c r="S11" s="42"/>
      <x:c r="T11" s="42"/>
    </x:row>
    <x:row r="12" ht="22" customHeight="1">
      <x:c r="A12" s="42"/>
      <x:c r="B12" s="42"/>
      <x:c r="C12" s="42" t="str">
        <x:v>Average stay</x:v>
      </x:c>
      <x:c r="D12" s="51"/>
      <x:c r="E12" s="51"/>
      <x:c r="F12" s="61" t="str">
        <x:f>IF(ISNUMBER('Drivers'!F32),'Drivers'!F32,"")</x:f>
      </x:c>
      <x:c r="G12" s="61" t="str">
        <x:f>IF(ISNUMBER('Drivers'!G32),'Drivers'!G32,"")</x:f>
      </x:c>
      <x:c r="H12" s="61" t="str">
        <x:f>IF(ISNUMBER('Drivers'!H32),'Drivers'!H32,"")</x:f>
      </x:c>
      <x:c r="I12" s="61" t="str">
        <x:f>IF(ISNUMBER('Drivers'!I32),'Drivers'!I32,"")</x:f>
      </x:c>
      <x:c r="J12" s="61" t="str">
        <x:f>IF(ISNUMBER('Drivers'!J32),'Drivers'!J32,"")</x:f>
      </x:c>
      <x:c r="K12" s="61" t="str">
        <x:f>IF(ISNUMBER('Drivers'!K32),'Drivers'!K32,"")</x:f>
      </x:c>
      <x:c r="L12" s="61" t="str">
        <x:f>IF(ISNUMBER('Drivers'!L32),'Drivers'!L32,"")</x:f>
      </x:c>
      <x:c r="M12" s="61" t="str">
        <x:f>IF(ISNUMBER('Drivers'!M32),'Drivers'!M32,"")</x:f>
      </x:c>
      <x:c r="N12" s="61" t="str">
        <x:f>IF(ISNUMBER('Drivers'!N32),'Drivers'!N32,"")</x:f>
      </x:c>
      <x:c r="O12" s="61" t="str">
        <x:f>IF(ISNUMBER('Drivers'!O32),'Drivers'!O32,"")</x:f>
      </x:c>
      <x:c r="P12" s="61" t="str">
        <x:f>IF(ISNUMBER('Drivers'!P32),'Drivers'!P32,"")</x:f>
      </x:c>
      <x:c r="Q12" s="61" t="str">
        <x:f>IF(ISNUMBER('Drivers'!Q32),'Drivers'!Q32,"")</x:f>
      </x:c>
      <x:c r="R12" s="42"/>
      <x:c r="S12" s="42"/>
      <x:c r="T12" s="42"/>
    </x:row>
    <x:row r="13" ht="22" customHeight="1">
      <x:c r="A13" s="42"/>
      <x:c r="B13" s="42"/>
      <x:c r="C13" s="42" t="str">
        <x:v>Channel booking share</x:v>
      </x:c>
      <x:c r="D13" s="51"/>
      <x:c r="E13" s="51"/>
      <x:c r="F13" s="62" t="str">
        <x:f>IF(ISNUMBER('Drivers'!F33),'Drivers'!F33,"")</x:f>
      </x:c>
      <x:c r="G13" s="62" t="str">
        <x:f>IF(ISNUMBER('Drivers'!G33),'Drivers'!G33,"")</x:f>
      </x:c>
      <x:c r="H13" s="62" t="str">
        <x:f>IF(ISNUMBER('Drivers'!H33),'Drivers'!H33,"")</x:f>
      </x:c>
      <x:c r="I13" s="62" t="str">
        <x:f>IF(ISNUMBER('Drivers'!I33),'Drivers'!I33,"")</x:f>
      </x:c>
      <x:c r="J13" s="62" t="str">
        <x:f>IF(ISNUMBER('Drivers'!J33),'Drivers'!J33,"")</x:f>
      </x:c>
      <x:c r="K13" s="62" t="str">
        <x:f>IF(ISNUMBER('Drivers'!K33),'Drivers'!K33,"")</x:f>
      </x:c>
      <x:c r="L13" s="62" t="str">
        <x:f>IF(ISNUMBER('Drivers'!L33),'Drivers'!L33,"")</x:f>
      </x:c>
      <x:c r="M13" s="62" t="str">
        <x:f>IF(ISNUMBER('Drivers'!M33),'Drivers'!M33,"")</x:f>
      </x:c>
      <x:c r="N13" s="62" t="str">
        <x:f>IF(ISNUMBER('Drivers'!N33),'Drivers'!N33,"")</x:f>
      </x:c>
      <x:c r="O13" s="62" t="str">
        <x:f>IF(ISNUMBER('Drivers'!O33),'Drivers'!O33,"")</x:f>
      </x:c>
      <x:c r="P13" s="62" t="str">
        <x:f>IF(ISNUMBER('Drivers'!P33),'Drivers'!P33,"")</x:f>
      </x:c>
      <x:c r="Q13" s="62" t="str">
        <x:f>IF(ISNUMBER('Drivers'!Q33),'Drivers'!Q33,"")</x:f>
      </x:c>
      <x:c r="R13" s="42"/>
      <x:c r="S13" s="42"/>
      <x:c r="T13" s="42"/>
    </x:row>
    <x:row r="14" ht="22" customHeight="1">
      <x:c r="A14" s="42"/>
      <x:c r="B14" s="42"/>
      <x:c r="C14" s="42" t="str">
        <x:v>Channel commission rate</x:v>
      </x:c>
      <x:c r="D14" s="51"/>
      <x:c r="E14" s="51"/>
      <x:c r="F14" s="62" t="str">
        <x:f>IF(ISNUMBER('Drivers'!F34),'Drivers'!F34,"")</x:f>
      </x:c>
      <x:c r="G14" s="62" t="str">
        <x:f>IF(ISNUMBER('Drivers'!G34),'Drivers'!G34,"")</x:f>
      </x:c>
      <x:c r="H14" s="62" t="str">
        <x:f>IF(ISNUMBER('Drivers'!H34),'Drivers'!H34,"")</x:f>
      </x:c>
      <x:c r="I14" s="62" t="str">
        <x:f>IF(ISNUMBER('Drivers'!I34),'Drivers'!I34,"")</x:f>
      </x:c>
      <x:c r="J14" s="62" t="str">
        <x:f>IF(ISNUMBER('Drivers'!J34),'Drivers'!J34,"")</x:f>
      </x:c>
      <x:c r="K14" s="62" t="str">
        <x:f>IF(ISNUMBER('Drivers'!K34),'Drivers'!K34,"")</x:f>
      </x:c>
      <x:c r="L14" s="62" t="str">
        <x:f>IF(ISNUMBER('Drivers'!L34),'Drivers'!L34,"")</x:f>
      </x:c>
      <x:c r="M14" s="62" t="str">
        <x:f>IF(ISNUMBER('Drivers'!M34),'Drivers'!M34,"")</x:f>
      </x:c>
      <x:c r="N14" s="62" t="str">
        <x:f>IF(ISNUMBER('Drivers'!N34),'Drivers'!N34,"")</x:f>
      </x:c>
      <x:c r="O14" s="62" t="str">
        <x:f>IF(ISNUMBER('Drivers'!O34),'Drivers'!O34,"")</x:f>
      </x:c>
      <x:c r="P14" s="62" t="str">
        <x:f>IF(ISNUMBER('Drivers'!P34),'Drivers'!P34,"")</x:f>
      </x:c>
      <x:c r="Q14" s="62" t="str">
        <x:f>IF(ISNUMBER('Drivers'!Q34),'Drivers'!Q34,"")</x:f>
      </x:c>
      <x:c r="R14" s="42"/>
      <x:c r="S14" s="42"/>
      <x:c r="T14" s="42"/>
    </x:row>
    <x:row r="15" ht="22" customHeight="1">
      <x:c r="A15" s="42"/>
      <x:c r="B15" s="42"/>
      <x:c r="C15" s="42" t="str">
        <x:v>Cleaning charge per stay</x:v>
      </x:c>
      <x:c r="D15" s="51"/>
      <x:c r="E15" s="51"/>
      <x:c r="F15" s="61" t="str">
        <x:f>IF(ISNUMBER('Drivers'!F35),'Drivers'!F35,"")</x:f>
      </x:c>
      <x:c r="G15" s="61" t="str">
        <x:f>IF(ISNUMBER('Drivers'!G35),'Drivers'!G35,"")</x:f>
      </x:c>
      <x:c r="H15" s="61" t="str">
        <x:f>IF(ISNUMBER('Drivers'!H35),'Drivers'!H35,"")</x:f>
      </x:c>
      <x:c r="I15" s="61" t="str">
        <x:f>IF(ISNUMBER('Drivers'!I35),'Drivers'!I35,"")</x:f>
      </x:c>
      <x:c r="J15" s="61" t="str">
        <x:f>IF(ISNUMBER('Drivers'!J35),'Drivers'!J35,"")</x:f>
      </x:c>
      <x:c r="K15" s="61" t="str">
        <x:f>IF(ISNUMBER('Drivers'!K35),'Drivers'!K35,"")</x:f>
      </x:c>
      <x:c r="L15" s="61" t="str">
        <x:f>IF(ISNUMBER('Drivers'!L35),'Drivers'!L35,"")</x:f>
      </x:c>
      <x:c r="M15" s="61" t="str">
        <x:f>IF(ISNUMBER('Drivers'!M35),'Drivers'!M35,"")</x:f>
      </x:c>
      <x:c r="N15" s="61" t="str">
        <x:f>IF(ISNUMBER('Drivers'!N35),'Drivers'!N35,"")</x:f>
      </x:c>
      <x:c r="O15" s="61" t="str">
        <x:f>IF(ISNUMBER('Drivers'!O35),'Drivers'!O35,"")</x:f>
      </x:c>
      <x:c r="P15" s="61" t="str">
        <x:f>IF(ISNUMBER('Drivers'!P35),'Drivers'!P35,"")</x:f>
      </x:c>
      <x:c r="Q15" s="61" t="str">
        <x:f>IF(ISNUMBER('Drivers'!Q35),'Drivers'!Q35,"")</x:f>
      </x:c>
      <x:c r="R15" s="42"/>
      <x:c r="S15" s="42"/>
      <x:c r="T15" s="42"/>
    </x:row>
    <x:row r="16" ht="22" customHeight="1">
      <x:c r="A16" s="42"/>
      <x:c r="B16" s="42"/>
      <x:c r="C16" s="42" t="str">
        <x:v>Cleaning cost per stay</x:v>
      </x:c>
      <x:c r="D16" s="51"/>
      <x:c r="E16" s="51"/>
      <x:c r="F16" s="61" t="str">
        <x:f>IF(ISNUMBER('Drivers'!F36),'Drivers'!F36,"")</x:f>
      </x:c>
      <x:c r="G16" s="61" t="str">
        <x:f>IF(ISNUMBER('Drivers'!G36),'Drivers'!G36,"")</x:f>
      </x:c>
      <x:c r="H16" s="61" t="str">
        <x:f>IF(ISNUMBER('Drivers'!H36),'Drivers'!H36,"")</x:f>
      </x:c>
      <x:c r="I16" s="61" t="str">
        <x:f>IF(ISNUMBER('Drivers'!I36),'Drivers'!I36,"")</x:f>
      </x:c>
      <x:c r="J16" s="61" t="str">
        <x:f>IF(ISNUMBER('Drivers'!J36),'Drivers'!J36,"")</x:f>
      </x:c>
      <x:c r="K16" s="61" t="str">
        <x:f>IF(ISNUMBER('Drivers'!K36),'Drivers'!K36,"")</x:f>
      </x:c>
      <x:c r="L16" s="61" t="str">
        <x:f>IF(ISNUMBER('Drivers'!L36),'Drivers'!L36,"")</x:f>
      </x:c>
      <x:c r="M16" s="61" t="str">
        <x:f>IF(ISNUMBER('Drivers'!M36),'Drivers'!M36,"")</x:f>
      </x:c>
      <x:c r="N16" s="61" t="str">
        <x:f>IF(ISNUMBER('Drivers'!N36),'Drivers'!N36,"")</x:f>
      </x:c>
      <x:c r="O16" s="61" t="str">
        <x:f>IF(ISNUMBER('Drivers'!O36),'Drivers'!O36,"")</x:f>
      </x:c>
      <x:c r="P16" s="61" t="str">
        <x:f>IF(ISNUMBER('Drivers'!P36),'Drivers'!P36,"")</x:f>
      </x:c>
      <x:c r="Q16" s="61" t="str">
        <x:f>IF(ISNUMBER('Drivers'!Q36),'Drivers'!Q36,"")</x:f>
      </x:c>
      <x:c r="R16" s="42"/>
      <x:c r="S16" s="42"/>
      <x:c r="T16" s="42"/>
    </x:row>
    <x:row r="17" ht="22" customHeight="1">
      <x:c r="A17" s="42"/>
      <x:c r="B17" s="42"/>
      <x:c r="C17" s="42" t="str">
        <x:v>Other guest fee per stay</x:v>
      </x:c>
      <x:c r="D17" s="51"/>
      <x:c r="E17" s="51"/>
      <x:c r="F17" s="61" t="str">
        <x:f>IF(ISNUMBER('Drivers'!F37),'Drivers'!F37,"")</x:f>
      </x:c>
      <x:c r="G17" s="61" t="str">
        <x:f>IF(ISNUMBER('Drivers'!G37),'Drivers'!G37,"")</x:f>
      </x:c>
      <x:c r="H17" s="61" t="str">
        <x:f>IF(ISNUMBER('Drivers'!H37),'Drivers'!H37,"")</x:f>
      </x:c>
      <x:c r="I17" s="61" t="str">
        <x:f>IF(ISNUMBER('Drivers'!I37),'Drivers'!I37,"")</x:f>
      </x:c>
      <x:c r="J17" s="61" t="str">
        <x:f>IF(ISNUMBER('Drivers'!J37),'Drivers'!J37,"")</x:f>
      </x:c>
      <x:c r="K17" s="61" t="str">
        <x:f>IF(ISNUMBER('Drivers'!K37),'Drivers'!K37,"")</x:f>
      </x:c>
      <x:c r="L17" s="61" t="str">
        <x:f>IF(ISNUMBER('Drivers'!L37),'Drivers'!L37,"")</x:f>
      </x:c>
      <x:c r="M17" s="61" t="str">
        <x:f>IF(ISNUMBER('Drivers'!M37),'Drivers'!M37,"")</x:f>
      </x:c>
      <x:c r="N17" s="61" t="str">
        <x:f>IF(ISNUMBER('Drivers'!N37),'Drivers'!N37,"")</x:f>
      </x:c>
      <x:c r="O17" s="61" t="str">
        <x:f>IF(ISNUMBER('Drivers'!O37),'Drivers'!O37,"")</x:f>
      </x:c>
      <x:c r="P17" s="61" t="str">
        <x:f>IF(ISNUMBER('Drivers'!P37),'Drivers'!P37,"")</x:f>
      </x:c>
      <x:c r="Q17" s="61" t="str">
        <x:f>IF(ISNUMBER('Drivers'!Q37),'Drivers'!Q37,"")</x:f>
      </x:c>
      <x:c r="R17" s="42"/>
      <x:c r="S17" s="42"/>
      <x:c r="T17" s="42"/>
    </x:row>
    <x:row r="18" ht="22" customHeight="1">
      <x:c r="A18" s="42"/>
      <x:c r="B18" s="42"/>
      <x:c r="C18" s="42" t="str">
        <x:v>Property-borne lodging tax</x:v>
      </x:c>
      <x:c r="D18" s="51"/>
      <x:c r="E18" s="51"/>
      <x:c r="F18" s="62" t="str">
        <x:f>IF(ISNUMBER('Drivers'!F38),'Drivers'!F38,"")</x:f>
      </x:c>
      <x:c r="G18" s="62" t="str">
        <x:f>IF(ISNUMBER('Drivers'!G38),'Drivers'!G38,"")</x:f>
      </x:c>
      <x:c r="H18" s="62" t="str">
        <x:f>IF(ISNUMBER('Drivers'!H38),'Drivers'!H38,"")</x:f>
      </x:c>
      <x:c r="I18" s="62" t="str">
        <x:f>IF(ISNUMBER('Drivers'!I38),'Drivers'!I38,"")</x:f>
      </x:c>
      <x:c r="J18" s="62" t="str">
        <x:f>IF(ISNUMBER('Drivers'!J38),'Drivers'!J38,"")</x:f>
      </x:c>
      <x:c r="K18" s="62" t="str">
        <x:f>IF(ISNUMBER('Drivers'!K38),'Drivers'!K38,"")</x:f>
      </x:c>
      <x:c r="L18" s="62" t="str">
        <x:f>IF(ISNUMBER('Drivers'!L38),'Drivers'!L38,"")</x:f>
      </x:c>
      <x:c r="M18" s="62" t="str">
        <x:f>IF(ISNUMBER('Drivers'!M38),'Drivers'!M38,"")</x:f>
      </x:c>
      <x:c r="N18" s="62" t="str">
        <x:f>IF(ISNUMBER('Drivers'!N38),'Drivers'!N38,"")</x:f>
      </x:c>
      <x:c r="O18" s="62" t="str">
        <x:f>IF(ISNUMBER('Drivers'!O38),'Drivers'!O38,"")</x:f>
      </x:c>
      <x:c r="P18" s="62" t="str">
        <x:f>IF(ISNUMBER('Drivers'!P38),'Drivers'!P38,"")</x:f>
      </x:c>
      <x:c r="Q18" s="62" t="str">
        <x:f>IF(ISNUMBER('Drivers'!Q38),'Drivers'!Q38,"")</x:f>
      </x:c>
      <x:c r="R18" s="42"/>
      <x:c r="S18" s="42"/>
      <x:c r="T18" s="42"/>
    </x:row>
    <x:row r="19" ht="22" customHeight="1">
      <x:c r="A19" s="42"/>
      <x:c r="B19" s="42"/>
      <x:c r="C19" s="42" t="str">
        <x:v>Refunds and discounts</x:v>
      </x:c>
      <x:c r="D19" s="51"/>
      <x:c r="E19" s="51"/>
      <x:c r="F19" s="62" t="str">
        <x:f>IF(ISNUMBER('Drivers'!F39),'Drivers'!F39,"")</x:f>
      </x:c>
      <x:c r="G19" s="62" t="str">
        <x:f>IF(ISNUMBER('Drivers'!G39),'Drivers'!G39,"")</x:f>
      </x:c>
      <x:c r="H19" s="62" t="str">
        <x:f>IF(ISNUMBER('Drivers'!H39),'Drivers'!H39,"")</x:f>
      </x:c>
      <x:c r="I19" s="62" t="str">
        <x:f>IF(ISNUMBER('Drivers'!I39),'Drivers'!I39,"")</x:f>
      </x:c>
      <x:c r="J19" s="62" t="str">
        <x:f>IF(ISNUMBER('Drivers'!J39),'Drivers'!J39,"")</x:f>
      </x:c>
      <x:c r="K19" s="62" t="str">
        <x:f>IF(ISNUMBER('Drivers'!K39),'Drivers'!K39,"")</x:f>
      </x:c>
      <x:c r="L19" s="62" t="str">
        <x:f>IF(ISNUMBER('Drivers'!L39),'Drivers'!L39,"")</x:f>
      </x:c>
      <x:c r="M19" s="62" t="str">
        <x:f>IF(ISNUMBER('Drivers'!M39),'Drivers'!M39,"")</x:f>
      </x:c>
      <x:c r="N19" s="62" t="str">
        <x:f>IF(ISNUMBER('Drivers'!N39),'Drivers'!N39,"")</x:f>
      </x:c>
      <x:c r="O19" s="62" t="str">
        <x:f>IF(ISNUMBER('Drivers'!O39),'Drivers'!O39,"")</x:f>
      </x:c>
      <x:c r="P19" s="62" t="str">
        <x:f>IF(ISNUMBER('Drivers'!P39),'Drivers'!P39,"")</x:f>
      </x:c>
      <x:c r="Q19" s="62" t="str">
        <x:f>IF(ISNUMBER('Drivers'!Q39),'Drivers'!Q39,"")</x:f>
      </x:c>
      <x:c r="R19" s="42"/>
      <x:c r="S19" s="42"/>
      <x:c r="T19" s="42"/>
    </x:row>
    <x:row r="20" ht="22" customHeight="1">
      <x:c r="A20" s="42"/>
      <x:c r="B20" s="42"/>
      <x:c r="C20" s="42" t="str">
        <x:v>Bad debt</x:v>
      </x:c>
      <x:c r="D20" s="51"/>
      <x:c r="E20" s="51"/>
      <x:c r="F20" s="62" t="str">
        <x:f>IF(ISNUMBER('Drivers'!F40),'Drivers'!F40,"")</x:f>
      </x:c>
      <x:c r="G20" s="62" t="str">
        <x:f>IF(ISNUMBER('Drivers'!G40),'Drivers'!G40,"")</x:f>
      </x:c>
      <x:c r="H20" s="62" t="str">
        <x:f>IF(ISNUMBER('Drivers'!H40),'Drivers'!H40,"")</x:f>
      </x:c>
      <x:c r="I20" s="62" t="str">
        <x:f>IF(ISNUMBER('Drivers'!I40),'Drivers'!I40,"")</x:f>
      </x:c>
      <x:c r="J20" s="62" t="str">
        <x:f>IF(ISNUMBER('Drivers'!J40),'Drivers'!J40,"")</x:f>
      </x:c>
      <x:c r="K20" s="62" t="str">
        <x:f>IF(ISNUMBER('Drivers'!K40),'Drivers'!K40,"")</x:f>
      </x:c>
      <x:c r="L20" s="62" t="str">
        <x:f>IF(ISNUMBER('Drivers'!L40),'Drivers'!L40,"")</x:f>
      </x:c>
      <x:c r="M20" s="62" t="str">
        <x:f>IF(ISNUMBER('Drivers'!M40),'Drivers'!M40,"")</x:f>
      </x:c>
      <x:c r="N20" s="62" t="str">
        <x:f>IF(ISNUMBER('Drivers'!N40),'Drivers'!N40,"")</x:f>
      </x:c>
      <x:c r="O20" s="62" t="str">
        <x:f>IF(ISNUMBER('Drivers'!O40),'Drivers'!O40,"")</x:f>
      </x:c>
      <x:c r="P20" s="62" t="str">
        <x:f>IF(ISNUMBER('Drivers'!P40),'Drivers'!P40,"")</x:f>
      </x:c>
      <x:c r="Q20" s="62" t="str">
        <x:f>IF(ISNUMBER('Drivers'!Q40),'Drivers'!Q40,"")</x:f>
      </x:c>
      <x:c r="R20" s="42"/>
      <x:c r="S20" s="42"/>
      <x:c r="T20" s="42"/>
    </x:row>
    <x:row r="21" ht="22" customHeight="1">
      <x:c r="A21" s="42"/>
      <x:c r="B21" s="42"/>
      <x:c r="C21" s="42" t="str">
        <x:v>Variable supplies</x:v>
      </x:c>
      <x:c r="D21" s="51"/>
      <x:c r="E21" s="51"/>
      <x:c r="F21" s="61" t="str">
        <x:f>IF(ISNUMBER('Drivers'!F41),'Drivers'!F41,"")</x:f>
      </x:c>
      <x:c r="G21" s="61" t="str">
        <x:f>IF(ISNUMBER('Drivers'!G41),'Drivers'!G41,"")</x:f>
      </x:c>
      <x:c r="H21" s="61" t="str">
        <x:f>IF(ISNUMBER('Drivers'!H41),'Drivers'!H41,"")</x:f>
      </x:c>
      <x:c r="I21" s="61" t="str">
        <x:f>IF(ISNUMBER('Drivers'!I41),'Drivers'!I41,"")</x:f>
      </x:c>
      <x:c r="J21" s="61" t="str">
        <x:f>IF(ISNUMBER('Drivers'!J41),'Drivers'!J41,"")</x:f>
      </x:c>
      <x:c r="K21" s="61" t="str">
        <x:f>IF(ISNUMBER('Drivers'!K41),'Drivers'!K41,"")</x:f>
      </x:c>
      <x:c r="L21" s="61" t="str">
        <x:f>IF(ISNUMBER('Drivers'!L41),'Drivers'!L41,"")</x:f>
      </x:c>
      <x:c r="M21" s="61" t="str">
        <x:f>IF(ISNUMBER('Drivers'!M41),'Drivers'!M41,"")</x:f>
      </x:c>
      <x:c r="N21" s="61" t="str">
        <x:f>IF(ISNUMBER('Drivers'!N41),'Drivers'!N41,"")</x:f>
      </x:c>
      <x:c r="O21" s="61" t="str">
        <x:f>IF(ISNUMBER('Drivers'!O41),'Drivers'!O41,"")</x:f>
      </x:c>
      <x:c r="P21" s="61" t="str">
        <x:f>IF(ISNUMBER('Drivers'!P41),'Drivers'!P41,"")</x:f>
      </x:c>
      <x:c r="Q21" s="61" t="str">
        <x:f>IF(ISNUMBER('Drivers'!Q41),'Drivers'!Q41,"")</x:f>
      </x:c>
      <x:c r="R21" s="42"/>
      <x:c r="S21" s="42"/>
      <x:c r="T21" s="42"/>
    </x:row>
    <x:row r="22" ht="22" customHeight="1">
      <x:c r="A22" s="42"/>
      <x:c r="B22" s="42"/>
      <x:c r="C22" s="42"/>
      <x:c r="D22" s="51"/>
      <x:c r="E22" s="51"/>
      <x:c r="F22" s="51"/>
      <x:c r="G22" s="51"/>
      <x:c r="H22" s="51"/>
      <x:c r="I22" s="51"/>
      <x:c r="J22" s="51"/>
      <x:c r="K22" s="51"/>
      <x:c r="L22" s="51"/>
      <x:c r="M22" s="51"/>
      <x:c r="N22" s="51"/>
      <x:c r="O22" s="51"/>
      <x:c r="P22" s="51"/>
      <x:c r="Q22" s="51"/>
      <x:c r="R22" s="42"/>
      <x:c r="S22" s="42"/>
      <x:c r="T22" s="42"/>
    </x:row>
    <x:row r="23" ht="22" customHeight="1">
      <x:c r="A23" s="42"/>
      <x:c r="B23" s="42"/>
      <x:c r="C23" s="42" t="str">
        <x:v>Available unit-nights</x:v>
      </x:c>
      <x:c r="D23" s="51" t="str">
        <x:f>IF(COUNT(F23:Q23)=12,SUM(F23:Q23),"")</x:f>
      </x:c>
      <x:c r="E23" s="51"/>
      <x:c r="F23" s="51" t="str">
        <x:f>IF(AND(COUNT(F8,F9)=2,F8&gt;=0,F9&gt;=0,F9&lt;=DAY(EOMONTH(F$6,0))),F8*F9,"")</x:f>
      </x:c>
      <x:c r="G23" s="51" t="str">
        <x:f>IF(AND(COUNT(G8,G9)=2,G8&gt;=0,G9&gt;=0,G9&lt;=DAY(EOMONTH(G$6,0))),G8*G9,"")</x:f>
      </x:c>
      <x:c r="H23" s="51" t="str">
        <x:f>IF(AND(COUNT(H8,H9)=2,H8&gt;=0,H9&gt;=0,H9&lt;=DAY(EOMONTH(H$6,0))),H8*H9,"")</x:f>
      </x:c>
      <x:c r="I23" s="51" t="str">
        <x:f>IF(AND(COUNT(I8,I9)=2,I8&gt;=0,I9&gt;=0,I9&lt;=DAY(EOMONTH(I$6,0))),I8*I9,"")</x:f>
      </x:c>
      <x:c r="J23" s="51" t="str">
        <x:f>IF(AND(COUNT(J8,J9)=2,J8&gt;=0,J9&gt;=0,J9&lt;=DAY(EOMONTH(J$6,0))),J8*J9,"")</x:f>
      </x:c>
      <x:c r="K23" s="51" t="str">
        <x:f>IF(AND(COUNT(K8,K9)=2,K8&gt;=0,K9&gt;=0,K9&lt;=DAY(EOMONTH(K$6,0))),K8*K9,"")</x:f>
      </x:c>
      <x:c r="L23" s="51" t="str">
        <x:f>IF(AND(COUNT(L8,L9)=2,L8&gt;=0,L9&gt;=0,L9&lt;=DAY(EOMONTH(L$6,0))),L8*L9,"")</x:f>
      </x:c>
      <x:c r="M23" s="51" t="str">
        <x:f>IF(AND(COUNT(M8,M9)=2,M8&gt;=0,M9&gt;=0,M9&lt;=DAY(EOMONTH(M$6,0))),M8*M9,"")</x:f>
      </x:c>
      <x:c r="N23" s="51" t="str">
        <x:f>IF(AND(COUNT(N8,N9)=2,N8&gt;=0,N9&gt;=0,N9&lt;=DAY(EOMONTH(N$6,0))),N8*N9,"")</x:f>
      </x:c>
      <x:c r="O23" s="51" t="str">
        <x:f>IF(AND(COUNT(O8,O9)=2,O8&gt;=0,O9&gt;=0,O9&lt;=DAY(EOMONTH(O$6,0))),O8*O9,"")</x:f>
      </x:c>
      <x:c r="P23" s="51" t="str">
        <x:f>IF(AND(COUNT(P8,P9)=2,P8&gt;=0,P9&gt;=0,P9&lt;=DAY(EOMONTH(P$6,0))),P8*P9,"")</x:f>
      </x:c>
      <x:c r="Q23" s="51" t="str">
        <x:f>IF(AND(COUNT(Q8,Q9)=2,Q8&gt;=0,Q9&gt;=0,Q9&lt;=DAY(EOMONTH(Q$6,0))),Q8*Q9,"")</x:f>
      </x:c>
      <x:c r="R23" s="42"/>
      <x:c r="S23" s="42"/>
      <x:c r="T23" s="42"/>
    </x:row>
    <x:row r="24" ht="22" customHeight="1">
      <x:c r="A24" s="42"/>
      <x:c r="B24" s="42"/>
      <x:c r="C24" s="42" t="str">
        <x:v>Booked unit-nights</x:v>
      </x:c>
      <x:c r="D24" s="51" t="str">
        <x:f>IF(COUNT(F24:Q24)=12,SUM(F24:Q24),"")</x:f>
      </x:c>
      <x:c r="E24" s="51"/>
      <x:c r="F24" s="51" t="str">
        <x:f>IF(AND(COUNT(F23,F11)=2,F11&gt;=0,F11&lt;=1),F23*F11,"")</x:f>
      </x:c>
      <x:c r="G24" s="51" t="str">
        <x:f>IF(AND(COUNT(G23,G11)=2,G11&gt;=0,G11&lt;=1),G23*G11,"")</x:f>
      </x:c>
      <x:c r="H24" s="51" t="str">
        <x:f>IF(AND(COUNT(H23,H11)=2,H11&gt;=0,H11&lt;=1),H23*H11,"")</x:f>
      </x:c>
      <x:c r="I24" s="51" t="str">
        <x:f>IF(AND(COUNT(I23,I11)=2,I11&gt;=0,I11&lt;=1),I23*I11,"")</x:f>
      </x:c>
      <x:c r="J24" s="51" t="str">
        <x:f>IF(AND(COUNT(J23,J11)=2,J11&gt;=0,J11&lt;=1),J23*J11,"")</x:f>
      </x:c>
      <x:c r="K24" s="51" t="str">
        <x:f>IF(AND(COUNT(K23,K11)=2,K11&gt;=0,K11&lt;=1),K23*K11,"")</x:f>
      </x:c>
      <x:c r="L24" s="51" t="str">
        <x:f>IF(AND(COUNT(L23,L11)=2,L11&gt;=0,L11&lt;=1),L23*L11,"")</x:f>
      </x:c>
      <x:c r="M24" s="51" t="str">
        <x:f>IF(AND(COUNT(M23,M11)=2,M11&gt;=0,M11&lt;=1),M23*M11,"")</x:f>
      </x:c>
      <x:c r="N24" s="51" t="str">
        <x:f>IF(AND(COUNT(N23,N11)=2,N11&gt;=0,N11&lt;=1),N23*N11,"")</x:f>
      </x:c>
      <x:c r="O24" s="51" t="str">
        <x:f>IF(AND(COUNT(O23,O11)=2,O11&gt;=0,O11&lt;=1),O23*O11,"")</x:f>
      </x:c>
      <x:c r="P24" s="51" t="str">
        <x:f>IF(AND(COUNT(P23,P11)=2,P11&gt;=0,P11&lt;=1),P23*P11,"")</x:f>
      </x:c>
      <x:c r="Q24" s="51" t="str">
        <x:f>IF(AND(COUNT(Q23,Q11)=2,Q11&gt;=0,Q11&lt;=1),Q23*Q11,"")</x:f>
      </x:c>
      <x:c r="R24" s="42"/>
      <x:c r="S24" s="48" t="str">
        <x:v>Forecast activity only. Closed-period official actuals are displayed separately on Summary.</x:v>
      </x:c>
      <x:c r="T24" s="42"/>
    </x:row>
    <x:row r="25" ht="22" customHeight="1">
      <x:c r="A25" s="42"/>
      <x:c r="B25" s="42"/>
      <x:c r="C25" s="42" t="str">
        <x:v>Expected stays / turnovers</x:v>
      </x:c>
      <x:c r="D25" s="51" t="str">
        <x:f>IF(COUNT(F25:Q25)=12,SUM(F25:Q25),"")</x:f>
      </x:c>
      <x:c r="E25" s="51"/>
      <x:c r="F25" s="51" t="str">
        <x:f>IF(AND(COUNT(F24,F12)=2,F12&gt;0),F24/F12,"")</x:f>
      </x:c>
      <x:c r="G25" s="51" t="str">
        <x:f>IF(AND(COUNT(G24,G12)=2,G12&gt;0),G24/G12,"")</x:f>
      </x:c>
      <x:c r="H25" s="51" t="str">
        <x:f>IF(AND(COUNT(H24,H12)=2,H12&gt;0),H24/H12,"")</x:f>
      </x:c>
      <x:c r="I25" s="51" t="str">
        <x:f>IF(AND(COUNT(I24,I12)=2,I12&gt;0),I24/I12,"")</x:f>
      </x:c>
      <x:c r="J25" s="51" t="str">
        <x:f>IF(AND(COUNT(J24,J12)=2,J12&gt;0),J24/J12,"")</x:f>
      </x:c>
      <x:c r="K25" s="51" t="str">
        <x:f>IF(AND(COUNT(K24,K12)=2,K12&gt;0),K24/K12,"")</x:f>
      </x:c>
      <x:c r="L25" s="51" t="str">
        <x:f>IF(AND(COUNT(L24,L12)=2,L12&gt;0),L24/L12,"")</x:f>
      </x:c>
      <x:c r="M25" s="51" t="str">
        <x:f>IF(AND(COUNT(M24,M12)=2,M12&gt;0),M24/M12,"")</x:f>
      </x:c>
      <x:c r="N25" s="51" t="str">
        <x:f>IF(AND(COUNT(N24,N12)=2,N12&gt;0),N24/N12,"")</x:f>
      </x:c>
      <x:c r="O25" s="51" t="str">
        <x:f>IF(AND(COUNT(O24,O12)=2,O12&gt;0),O24/O12,"")</x:f>
      </x:c>
      <x:c r="P25" s="51" t="str">
        <x:f>IF(AND(COUNT(P24,P12)=2,P12&gt;0),P24/P12,"")</x:f>
      </x:c>
      <x:c r="Q25" s="51" t="str">
        <x:f>IF(AND(COUNT(Q24,Q12)=2,Q12&gt;0),Q24/Q12,"")</x:f>
      </x:c>
      <x:c r="R25" s="42"/>
      <x:c r="S25" s="48"/>
      <x:c r="T25" s="42"/>
    </x:row>
    <x:row r="26" ht="22" customHeight="1">
      <x:c r="A26" s="42"/>
      <x:c r="B26" s="42"/>
      <x:c r="C26" s="42"/>
      <x:c r="D26" s="51"/>
      <x:c r="E26" s="51"/>
      <x:c r="F26" s="51"/>
      <x:c r="G26" s="51"/>
      <x:c r="H26" s="51"/>
      <x:c r="I26" s="51"/>
      <x:c r="J26" s="51"/>
      <x:c r="K26" s="51"/>
      <x:c r="L26" s="51"/>
      <x:c r="M26" s="51"/>
      <x:c r="N26" s="51"/>
      <x:c r="O26" s="51"/>
      <x:c r="P26" s="51"/>
      <x:c r="Q26" s="51"/>
      <x:c r="R26" s="42"/>
      <x:c r="S26" s="48"/>
      <x:c r="T26" s="42"/>
    </x:row>
    <x:row r="27" ht="22" customHeight="1">
      <x:c r="A27" s="42"/>
      <x:c r="B27" s="42"/>
      <x:c r="C27" s="42"/>
      <x:c r="D27" s="51"/>
      <x:c r="E27" s="51"/>
      <x:c r="F27" s="51"/>
      <x:c r="G27" s="51"/>
      <x:c r="H27" s="51"/>
      <x:c r="I27" s="51"/>
      <x:c r="J27" s="51"/>
      <x:c r="K27" s="51"/>
      <x:c r="L27" s="51"/>
      <x:c r="M27" s="51"/>
      <x:c r="N27" s="51"/>
      <x:c r="O27" s="51"/>
      <x:c r="P27" s="51"/>
      <x:c r="Q27" s="51"/>
      <x:c r="R27" s="42"/>
      <x:c r="S27" s="48"/>
      <x:c r="T27" s="42"/>
    </x:row>
    <x:row r="28" ht="22" customHeight="1">
      <x:c r="A28" s="42"/>
      <x:c r="B28" s="42"/>
      <x:c r="C28" s="42" t="str">
        <x:v>Lodging revenue</x:v>
      </x:c>
      <x:c r="D28" s="51" t="str">
        <x:f>IF(COUNT(F28:Q28)=12,SUM(F28:Q28),"")</x:f>
      </x:c>
      <x:c r="E28" s="51"/>
      <x:c r="F28" s="51" t="str">
        <x:f>IF(AND(COUNT(F24,F10)=2,F10&gt;=0),F24*F10,"")</x:f>
      </x:c>
      <x:c r="G28" s="51" t="str">
        <x:f>IF(AND(COUNT(G24,G10)=2,G10&gt;=0),G24*G10,"")</x:f>
      </x:c>
      <x:c r="H28" s="51" t="str">
        <x:f>IF(AND(COUNT(H24,H10)=2,H10&gt;=0),H24*H10,"")</x:f>
      </x:c>
      <x:c r="I28" s="51" t="str">
        <x:f>IF(AND(COUNT(I24,I10)=2,I10&gt;=0),I24*I10,"")</x:f>
      </x:c>
      <x:c r="J28" s="51" t="str">
        <x:f>IF(AND(COUNT(J24,J10)=2,J10&gt;=0),J24*J10,"")</x:f>
      </x:c>
      <x:c r="K28" s="51" t="str">
        <x:f>IF(AND(COUNT(K24,K10)=2,K10&gt;=0),K24*K10,"")</x:f>
      </x:c>
      <x:c r="L28" s="51" t="str">
        <x:f>IF(AND(COUNT(L24,L10)=2,L10&gt;=0),L24*L10,"")</x:f>
      </x:c>
      <x:c r="M28" s="51" t="str">
        <x:f>IF(AND(COUNT(M24,M10)=2,M10&gt;=0),M24*M10,"")</x:f>
      </x:c>
      <x:c r="N28" s="51" t="str">
        <x:f>IF(AND(COUNT(N24,N10)=2,N10&gt;=0),N24*N10,"")</x:f>
      </x:c>
      <x:c r="O28" s="51" t="str">
        <x:f>IF(AND(COUNT(O24,O10)=2,O10&gt;=0),O24*O10,"")</x:f>
      </x:c>
      <x:c r="P28" s="51" t="str">
        <x:f>IF(AND(COUNT(P24,P10)=2,P10&gt;=0),P24*P10,"")</x:f>
      </x:c>
      <x:c r="Q28" s="51" t="str">
        <x:f>IF(AND(COUNT(Q24,Q10)=2,Q10&gt;=0),Q24*Q10,"")</x:f>
      </x:c>
      <x:c r="R28" s="42"/>
      <x:c r="S28" s="48"/>
      <x:c r="T28" s="42"/>
    </x:row>
    <x:row r="29" ht="22" customHeight="1">
      <x:c r="A29" s="42"/>
      <x:c r="B29" s="42"/>
      <x:c r="C29" s="42" t="str">
        <x:v>Cleaning fee income</x:v>
      </x:c>
      <x:c r="D29" s="51" t="str">
        <x:f>IF(COUNT(F29:Q29)=12,SUM(F29:Q29),"")</x:f>
      </x:c>
      <x:c r="E29" s="51"/>
      <x:c r="F29" s="51" t="str">
        <x:f>IF(AND(COUNT(F25,F15)=2),F25*F15,"")</x:f>
      </x:c>
      <x:c r="G29" s="51" t="str">
        <x:f>IF(AND(COUNT(G25,G15)=2),G25*G15,"")</x:f>
      </x:c>
      <x:c r="H29" s="51" t="str">
        <x:f>IF(AND(COUNT(H25,H15)=2),H25*H15,"")</x:f>
      </x:c>
      <x:c r="I29" s="51" t="str">
        <x:f>IF(AND(COUNT(I25,I15)=2),I25*I15,"")</x:f>
      </x:c>
      <x:c r="J29" s="51" t="str">
        <x:f>IF(AND(COUNT(J25,J15)=2),J25*J15,"")</x:f>
      </x:c>
      <x:c r="K29" s="51" t="str">
        <x:f>IF(AND(COUNT(K25,K15)=2),K25*K15,"")</x:f>
      </x:c>
      <x:c r="L29" s="51" t="str">
        <x:f>IF(AND(COUNT(L25,L15)=2),L25*L15,"")</x:f>
      </x:c>
      <x:c r="M29" s="51" t="str">
        <x:f>IF(AND(COUNT(M25,M15)=2),M25*M15,"")</x:f>
      </x:c>
      <x:c r="N29" s="51" t="str">
        <x:f>IF(AND(COUNT(N25,N15)=2),N25*N15,"")</x:f>
      </x:c>
      <x:c r="O29" s="51" t="str">
        <x:f>IF(AND(COUNT(O25,O15)=2),O25*O15,"")</x:f>
      </x:c>
      <x:c r="P29" s="51" t="str">
        <x:f>IF(AND(COUNT(P25,P15)=2),P25*P15,"")</x:f>
      </x:c>
      <x:c r="Q29" s="51" t="str">
        <x:f>IF(AND(COUNT(Q25,Q15)=2),Q25*Q15,"")</x:f>
      </x:c>
      <x:c r="R29" s="42"/>
      <x:c r="S29" s="48"/>
      <x:c r="T29" s="42"/>
    </x:row>
    <x:row r="30" ht="22" customHeight="1">
      <x:c r="A30" s="42"/>
      <x:c r="B30" s="42"/>
      <x:c r="C30" s="42" t="str">
        <x:v>Other guest fee income</x:v>
      </x:c>
      <x:c r="D30" s="51" t="str">
        <x:f>IF(COUNT(F30:Q30)=12,SUM(F30:Q30),"")</x:f>
      </x:c>
      <x:c r="E30" s="51"/>
      <x:c r="F30" s="51" t="str">
        <x:f>IF(AND(COUNT(F25,F17)=2),F25*F17,"")</x:f>
      </x:c>
      <x:c r="G30" s="51" t="str">
        <x:f>IF(AND(COUNT(G25,G17)=2),G25*G17,"")</x:f>
      </x:c>
      <x:c r="H30" s="51" t="str">
        <x:f>IF(AND(COUNT(H25,H17)=2),H25*H17,"")</x:f>
      </x:c>
      <x:c r="I30" s="51" t="str">
        <x:f>IF(AND(COUNT(I25,I17)=2),I25*I17,"")</x:f>
      </x:c>
      <x:c r="J30" s="51" t="str">
        <x:f>IF(AND(COUNT(J25,J17)=2),J25*J17,"")</x:f>
      </x:c>
      <x:c r="K30" s="51" t="str">
        <x:f>IF(AND(COUNT(K25,K17)=2),K25*K17,"")</x:f>
      </x:c>
      <x:c r="L30" s="51" t="str">
        <x:f>IF(AND(COUNT(L25,L17)=2),L25*L17,"")</x:f>
      </x:c>
      <x:c r="M30" s="51" t="str">
        <x:f>IF(AND(COUNT(M25,M17)=2),M25*M17,"")</x:f>
      </x:c>
      <x:c r="N30" s="51" t="str">
        <x:f>IF(AND(COUNT(N25,N17)=2),N25*N17,"")</x:f>
      </x:c>
      <x:c r="O30" s="51" t="str">
        <x:f>IF(AND(COUNT(O25,O17)=2),O25*O17,"")</x:f>
      </x:c>
      <x:c r="P30" s="51" t="str">
        <x:f>IF(AND(COUNT(P25,P17)=2),P25*P17,"")</x:f>
      </x:c>
      <x:c r="Q30" s="51" t="str">
        <x:f>IF(AND(COUNT(Q25,Q17)=2),Q25*Q17,"")</x:f>
      </x:c>
      <x:c r="R30" s="42"/>
      <x:c r="S30" s="48"/>
      <x:c r="T30" s="42"/>
    </x:row>
    <x:row r="31" ht="22" customHeight="1">
      <x:c r="A31" s="42"/>
      <x:c r="B31" s="42"/>
      <x:c r="C31" s="49" t="str">
        <x:v>Gross income</x:v>
      </x:c>
      <x:c r="D31" s="50" t="str">
        <x:f>IF(COUNT(F31:Q31)=12,SUM(F31:Q31),"")</x:f>
      </x:c>
      <x:c r="E31" s="50"/>
      <x:c r="F31" s="50" t="str">
        <x:f>IF(AND(COUNT(F28,F29,F30)=3),SUM(F28:F30),"")</x:f>
      </x:c>
      <x:c r="G31" s="50" t="str">
        <x:f>IF(AND(COUNT(G28,G29,G30)=3),SUM(G28:G30),"")</x:f>
      </x:c>
      <x:c r="H31" s="50" t="str">
        <x:f>IF(AND(COUNT(H28,H29,H30)=3),SUM(H28:H30),"")</x:f>
      </x:c>
      <x:c r="I31" s="50" t="str">
        <x:f>IF(AND(COUNT(I28,I29,I30)=3),SUM(I28:I30),"")</x:f>
      </x:c>
      <x:c r="J31" s="50" t="str">
        <x:f>IF(AND(COUNT(J28,J29,J30)=3),SUM(J28:J30),"")</x:f>
      </x:c>
      <x:c r="K31" s="50" t="str">
        <x:f>IF(AND(COUNT(K28,K29,K30)=3),SUM(K28:K30),"")</x:f>
      </x:c>
      <x:c r="L31" s="50" t="str">
        <x:f>IF(AND(COUNT(L28,L29,L30)=3),SUM(L28:L30),"")</x:f>
      </x:c>
      <x:c r="M31" s="50" t="str">
        <x:f>IF(AND(COUNT(M28,M29,M30)=3),SUM(M28:M30),"")</x:f>
      </x:c>
      <x:c r="N31" s="50" t="str">
        <x:f>IF(AND(COUNT(N28,N29,N30)=3),SUM(N28:N30),"")</x:f>
      </x:c>
      <x:c r="O31" s="50" t="str">
        <x:f>IF(AND(COUNT(O28,O29,O30)=3),SUM(O28:O30),"")</x:f>
      </x:c>
      <x:c r="P31" s="50" t="str">
        <x:f>IF(AND(COUNT(P28,P29,P30)=3),SUM(P28:P30),"")</x:f>
      </x:c>
      <x:c r="Q31" s="50" t="str">
        <x:f>IF(AND(COUNT(Q28,Q29,Q30)=3),SUM(Q28:Q30),"")</x:f>
      </x:c>
      <x:c r="R31" s="42"/>
      <x:c r="S31" s="48"/>
      <x:c r="T31" s="42"/>
    </x:row>
    <x:row r="32" ht="22" customHeight="1">
      <x:c r="A32" s="42"/>
      <x:c r="B32" s="42"/>
      <x:c r="C32" s="42" t="str">
        <x:v>Refunds and discounts</x:v>
      </x:c>
      <x:c r="D32" s="51" t="str">
        <x:f>IF(COUNT(F32:Q32)=12,SUM(F32:Q32),"")</x:f>
      </x:c>
      <x:c r="E32" s="51"/>
      <x:c r="F32" s="51" t="str">
        <x:f>IF(AND(COUNT(F28,F19)=2),-F28*F19,"")</x:f>
      </x:c>
      <x:c r="G32" s="51" t="str">
        <x:f>IF(AND(COUNT(G28,G19)=2),-G28*G19,"")</x:f>
      </x:c>
      <x:c r="H32" s="51" t="str">
        <x:f>IF(AND(COUNT(H28,H19)=2),-H28*H19,"")</x:f>
      </x:c>
      <x:c r="I32" s="51" t="str">
        <x:f>IF(AND(COUNT(I28,I19)=2),-I28*I19,"")</x:f>
      </x:c>
      <x:c r="J32" s="51" t="str">
        <x:f>IF(AND(COUNT(J28,J19)=2),-J28*J19,"")</x:f>
      </x:c>
      <x:c r="K32" s="51" t="str">
        <x:f>IF(AND(COUNT(K28,K19)=2),-K28*K19,"")</x:f>
      </x:c>
      <x:c r="L32" s="51" t="str">
        <x:f>IF(AND(COUNT(L28,L19)=2),-L28*L19,"")</x:f>
      </x:c>
      <x:c r="M32" s="51" t="str">
        <x:f>IF(AND(COUNT(M28,M19)=2),-M28*M19,"")</x:f>
      </x:c>
      <x:c r="N32" s="51" t="str">
        <x:f>IF(AND(COUNT(N28,N19)=2),-N28*N19,"")</x:f>
      </x:c>
      <x:c r="O32" s="51" t="str">
        <x:f>IF(AND(COUNT(O28,O19)=2),-O28*O19,"")</x:f>
      </x:c>
      <x:c r="P32" s="51" t="str">
        <x:f>IF(AND(COUNT(P28,P19)=2),-P28*P19,"")</x:f>
      </x:c>
      <x:c r="Q32" s="51" t="str">
        <x:f>IF(AND(COUNT(Q28,Q19)=2),-Q28*Q19,"")</x:f>
      </x:c>
      <x:c r="R32" s="42"/>
      <x:c r="S32" s="48"/>
      <x:c r="T32" s="42"/>
    </x:row>
    <x:row r="33" ht="22" customHeight="1">
      <x:c r="A33" s="42"/>
      <x:c r="B33" s="42"/>
      <x:c r="C33" s="42" t="str">
        <x:v>Bad debt</x:v>
      </x:c>
      <x:c r="D33" s="51" t="str">
        <x:f>IF(COUNT(F33:Q33)=12,SUM(F33:Q33),"")</x:f>
      </x:c>
      <x:c r="E33" s="51"/>
      <x:c r="F33" s="51" t="str">
        <x:f>IF(AND(COUNT(F28,F20)=2),-F28*F20,"")</x:f>
      </x:c>
      <x:c r="G33" s="51" t="str">
        <x:f>IF(AND(COUNT(G28,G20)=2),-G28*G20,"")</x:f>
      </x:c>
      <x:c r="H33" s="51" t="str">
        <x:f>IF(AND(COUNT(H28,H20)=2),-H28*H20,"")</x:f>
      </x:c>
      <x:c r="I33" s="51" t="str">
        <x:f>IF(AND(COUNT(I28,I20)=2),-I28*I20,"")</x:f>
      </x:c>
      <x:c r="J33" s="51" t="str">
        <x:f>IF(AND(COUNT(J28,J20)=2),-J28*J20,"")</x:f>
      </x:c>
      <x:c r="K33" s="51" t="str">
        <x:f>IF(AND(COUNT(K28,K20)=2),-K28*K20,"")</x:f>
      </x:c>
      <x:c r="L33" s="51" t="str">
        <x:f>IF(AND(COUNT(L28,L20)=2),-L28*L20,"")</x:f>
      </x:c>
      <x:c r="M33" s="51" t="str">
        <x:f>IF(AND(COUNT(M28,M20)=2),-M28*M20,"")</x:f>
      </x:c>
      <x:c r="N33" s="51" t="str">
        <x:f>IF(AND(COUNT(N28,N20)=2),-N28*N20,"")</x:f>
      </x:c>
      <x:c r="O33" s="51" t="str">
        <x:f>IF(AND(COUNT(O28,O20)=2),-O28*O20,"")</x:f>
      </x:c>
      <x:c r="P33" s="51" t="str">
        <x:f>IF(AND(COUNT(P28,P20)=2),-P28*P20,"")</x:f>
      </x:c>
      <x:c r="Q33" s="51" t="str">
        <x:f>IF(AND(COUNT(Q28,Q20)=2),-Q28*Q20,"")</x:f>
      </x:c>
      <x:c r="R33" s="42"/>
      <x:c r="S33" s="48"/>
      <x:c r="T33" s="42"/>
    </x:row>
    <x:row r="34" ht="22" customHeight="1">
      <x:c r="A34" s="42"/>
      <x:c r="B34" s="42"/>
      <x:c r="C34" s="49" t="str">
        <x:v>Effective revenue</x:v>
      </x:c>
      <x:c r="D34" s="50" t="str">
        <x:f>IF(COUNT(F34:Q34)=12,SUM(F34:Q34),"")</x:f>
      </x:c>
      <x:c r="E34" s="50"/>
      <x:c r="F34" s="50" t="str">
        <x:f>IF(AND(COUNT(F31,F32,F33)=3),SUM(F31:F33),"")</x:f>
      </x:c>
      <x:c r="G34" s="50" t="str">
        <x:f>IF(AND(COUNT(G31,G32,G33)=3),SUM(G31:G33),"")</x:f>
      </x:c>
      <x:c r="H34" s="50" t="str">
        <x:f>IF(AND(COUNT(H31,H32,H33)=3),SUM(H31:H33),"")</x:f>
      </x:c>
      <x:c r="I34" s="50" t="str">
        <x:f>IF(AND(COUNT(I31,I32,I33)=3),SUM(I31:I33),"")</x:f>
      </x:c>
      <x:c r="J34" s="50" t="str">
        <x:f>IF(AND(COUNT(J31,J32,J33)=3),SUM(J31:J33),"")</x:f>
      </x:c>
      <x:c r="K34" s="50" t="str">
        <x:f>IF(AND(COUNT(K31,K32,K33)=3),SUM(K31:K33),"")</x:f>
      </x:c>
      <x:c r="L34" s="50" t="str">
        <x:f>IF(AND(COUNT(L31,L32,L33)=3),SUM(L31:L33),"")</x:f>
      </x:c>
      <x:c r="M34" s="50" t="str">
        <x:f>IF(AND(COUNT(M31,M32,M33)=3),SUM(M31:M33),"")</x:f>
      </x:c>
      <x:c r="N34" s="50" t="str">
        <x:f>IF(AND(COUNT(N31,N32,N33)=3),SUM(N31:N33),"")</x:f>
      </x:c>
      <x:c r="O34" s="50" t="str">
        <x:f>IF(AND(COUNT(O31,O32,O33)=3),SUM(O31:O33),"")</x:f>
      </x:c>
      <x:c r="P34" s="50" t="str">
        <x:f>IF(AND(COUNT(P31,P32,P33)=3),SUM(P31:P33),"")</x:f>
      </x:c>
      <x:c r="Q34" s="50" t="str">
        <x:f>IF(AND(COUNT(Q31,Q32,Q33)=3),SUM(Q31:Q33),"")</x:f>
      </x:c>
      <x:c r="R34" s="42"/>
      <x:c r="S34" s="48"/>
      <x:c r="T34" s="42"/>
    </x:row>
    <x:row r="35" ht="22" customHeight="1">
      <x:c r="A35" s="42"/>
      <x:c r="B35" s="42"/>
      <x:c r="C35" s="42"/>
      <x:c r="D35" s="51"/>
      <x:c r="E35" s="51"/>
      <x:c r="F35" s="51"/>
      <x:c r="G35" s="51"/>
      <x:c r="H35" s="51"/>
      <x:c r="I35" s="51"/>
      <x:c r="J35" s="51"/>
      <x:c r="K35" s="51"/>
      <x:c r="L35" s="51"/>
      <x:c r="M35" s="51"/>
      <x:c r="N35" s="51"/>
      <x:c r="O35" s="51"/>
      <x:c r="P35" s="51"/>
      <x:c r="Q35" s="51"/>
      <x:c r="R35" s="42"/>
      <x:c r="S35" s="48"/>
      <x:c r="T35" s="42"/>
    </x:row>
    <x:row r="36" ht="22" customHeight="1">
      <x:c r="A36" s="42"/>
      <x:c r="B36" s="42"/>
      <x:c r="C36" s="42" t="str">
        <x:v>Channel commissions</x:v>
      </x:c>
      <x:c r="D36" s="51" t="str">
        <x:f>IF(COUNT(F36:Q36)=12,SUM(F36:Q36),"")</x:f>
      </x:c>
      <x:c r="E36" s="51"/>
      <x:c r="F36" s="51" t="str">
        <x:f>IF(AND(COUNT(F28,F13,F14)=3),F28*F13*F14,"")</x:f>
      </x:c>
      <x:c r="G36" s="51" t="str">
        <x:f>IF(AND(COUNT(G28,G13,G14)=3),G28*G13*G14,"")</x:f>
      </x:c>
      <x:c r="H36" s="51" t="str">
        <x:f>IF(AND(COUNT(H28,H13,H14)=3),H28*H13*H14,"")</x:f>
      </x:c>
      <x:c r="I36" s="51" t="str">
        <x:f>IF(AND(COUNT(I28,I13,I14)=3),I28*I13*I14,"")</x:f>
      </x:c>
      <x:c r="J36" s="51" t="str">
        <x:f>IF(AND(COUNT(J28,J13,J14)=3),J28*J13*J14,"")</x:f>
      </x:c>
      <x:c r="K36" s="51" t="str">
        <x:f>IF(AND(COUNT(K28,K13,K14)=3),K28*K13*K14,"")</x:f>
      </x:c>
      <x:c r="L36" s="51" t="str">
        <x:f>IF(AND(COUNT(L28,L13,L14)=3),L28*L13*L14,"")</x:f>
      </x:c>
      <x:c r="M36" s="51" t="str">
        <x:f>IF(AND(COUNT(M28,M13,M14)=3),M28*M13*M14,"")</x:f>
      </x:c>
      <x:c r="N36" s="51" t="str">
        <x:f>IF(AND(COUNT(N28,N13,N14)=3),N28*N13*N14,"")</x:f>
      </x:c>
      <x:c r="O36" s="51" t="str">
        <x:f>IF(AND(COUNT(O28,O13,O14)=3),O28*O13*O14,"")</x:f>
      </x:c>
      <x:c r="P36" s="51" t="str">
        <x:f>IF(AND(COUNT(P28,P13,P14)=3),P28*P13*P14,"")</x:f>
      </x:c>
      <x:c r="Q36" s="51" t="str">
        <x:f>IF(AND(COUNT(Q28,Q13,Q14)=3),Q28*Q13*Q14,"")</x:f>
      </x:c>
      <x:c r="R36" s="42"/>
      <x:c r="S36" s="48"/>
      <x:c r="T36" s="42"/>
    </x:row>
    <x:row r="37" ht="22" customHeight="1">
      <x:c r="A37" s="42"/>
      <x:c r="B37" s="42"/>
      <x:c r="C37" s="42" t="str">
        <x:v>Cleaning expense</x:v>
      </x:c>
      <x:c r="D37" s="51" t="str">
        <x:f>IF(COUNT(F37:Q37)=12,SUM(F37:Q37),"")</x:f>
      </x:c>
      <x:c r="E37" s="51"/>
      <x:c r="F37" s="51" t="str">
        <x:f>IF(AND(COUNT(F25,F16)=2),F25*F16,"")</x:f>
      </x:c>
      <x:c r="G37" s="51" t="str">
        <x:f>IF(AND(COUNT(G25,G16)=2),G25*G16,"")</x:f>
      </x:c>
      <x:c r="H37" s="51" t="str">
        <x:f>IF(AND(COUNT(H25,H16)=2),H25*H16,"")</x:f>
      </x:c>
      <x:c r="I37" s="51" t="str">
        <x:f>IF(AND(COUNT(I25,I16)=2),I25*I16,"")</x:f>
      </x:c>
      <x:c r="J37" s="51" t="str">
        <x:f>IF(AND(COUNT(J25,J16)=2),J25*J16,"")</x:f>
      </x:c>
      <x:c r="K37" s="51" t="str">
        <x:f>IF(AND(COUNT(K25,K16)=2),K25*K16,"")</x:f>
      </x:c>
      <x:c r="L37" s="51" t="str">
        <x:f>IF(AND(COUNT(L25,L16)=2),L25*L16,"")</x:f>
      </x:c>
      <x:c r="M37" s="51" t="str">
        <x:f>IF(AND(COUNT(M25,M16)=2),M25*M16,"")</x:f>
      </x:c>
      <x:c r="N37" s="51" t="str">
        <x:f>IF(AND(COUNT(N25,N16)=2),N25*N16,"")</x:f>
      </x:c>
      <x:c r="O37" s="51" t="str">
        <x:f>IF(AND(COUNT(O25,O16)=2),O25*O16,"")</x:f>
      </x:c>
      <x:c r="P37" s="51" t="str">
        <x:f>IF(AND(COUNT(P25,P16)=2),P25*P16,"")</x:f>
      </x:c>
      <x:c r="Q37" s="51" t="str">
        <x:f>IF(AND(COUNT(Q25,Q16)=2),Q25*Q16,"")</x:f>
      </x:c>
      <x:c r="R37" s="42"/>
      <x:c r="S37" s="48"/>
      <x:c r="T37" s="42"/>
    </x:row>
    <x:row r="38" ht="22" customHeight="1">
      <x:c r="A38" s="42"/>
      <x:c r="B38" s="42"/>
      <x:c r="C38" s="42" t="str">
        <x:v>Property-borne lodging taxes</x:v>
      </x:c>
      <x:c r="D38" s="51" t="str">
        <x:f>IF(COUNT(F38:Q38)=12,SUM(F38:Q38),"")</x:f>
      </x:c>
      <x:c r="E38" s="51"/>
      <x:c r="F38" s="51" t="str">
        <x:f>IF(AND(COUNT(F28,F18)=2),F28*F18,"")</x:f>
      </x:c>
      <x:c r="G38" s="51" t="str">
        <x:f>IF(AND(COUNT(G28,G18)=2),G28*G18,"")</x:f>
      </x:c>
      <x:c r="H38" s="51" t="str">
        <x:f>IF(AND(COUNT(H28,H18)=2),H28*H18,"")</x:f>
      </x:c>
      <x:c r="I38" s="51" t="str">
        <x:f>IF(AND(COUNT(I28,I18)=2),I28*I18,"")</x:f>
      </x:c>
      <x:c r="J38" s="51" t="str">
        <x:f>IF(AND(COUNT(J28,J18)=2),J28*J18,"")</x:f>
      </x:c>
      <x:c r="K38" s="51" t="str">
        <x:f>IF(AND(COUNT(K28,K18)=2),K28*K18,"")</x:f>
      </x:c>
      <x:c r="L38" s="51" t="str">
        <x:f>IF(AND(COUNT(L28,L18)=2),L28*L18,"")</x:f>
      </x:c>
      <x:c r="M38" s="51" t="str">
        <x:f>IF(AND(COUNT(M28,M18)=2),M28*M18,"")</x:f>
      </x:c>
      <x:c r="N38" s="51" t="str">
        <x:f>IF(AND(COUNT(N28,N18)=2),N28*N18,"")</x:f>
      </x:c>
      <x:c r="O38" s="51" t="str">
        <x:f>IF(AND(COUNT(O28,O18)=2),O28*O18,"")</x:f>
      </x:c>
      <x:c r="P38" s="51" t="str">
        <x:f>IF(AND(COUNT(P28,P18)=2),P28*P18,"")</x:f>
      </x:c>
      <x:c r="Q38" s="51" t="str">
        <x:f>IF(AND(COUNT(Q28,Q18)=2),Q28*Q18,"")</x:f>
      </x:c>
      <x:c r="R38" s="42"/>
      <x:c r="S38" s="48"/>
      <x:c r="T38" s="42"/>
    </x:row>
    <x:row r="39" ht="22" customHeight="1">
      <x:c r="A39" s="42"/>
      <x:c r="B39" s="42"/>
      <x:c r="C39" s="42" t="str">
        <x:v>Variable supplies expense</x:v>
      </x:c>
      <x:c r="D39" s="51" t="str">
        <x:f>IF(COUNT(F39:Q39)=12,SUM(F39:Q39),"")</x:f>
      </x:c>
      <x:c r="E39" s="51"/>
      <x:c r="F39" s="51" t="str">
        <x:f>IF(AND(COUNT(F24,F21)=2),F24*F21,"")</x:f>
      </x:c>
      <x:c r="G39" s="51" t="str">
        <x:f>IF(AND(COUNT(G24,G21)=2),G24*G21,"")</x:f>
      </x:c>
      <x:c r="H39" s="51" t="str">
        <x:f>IF(AND(COUNT(H24,H21)=2),H24*H21,"")</x:f>
      </x:c>
      <x:c r="I39" s="51" t="str">
        <x:f>IF(AND(COUNT(I24,I21)=2),I24*I21,"")</x:f>
      </x:c>
      <x:c r="J39" s="51" t="str">
        <x:f>IF(AND(COUNT(J24,J21)=2),J24*J21,"")</x:f>
      </x:c>
      <x:c r="K39" s="51" t="str">
        <x:f>IF(AND(COUNT(K24,K21)=2),K24*K21,"")</x:f>
      </x:c>
      <x:c r="L39" s="51" t="str">
        <x:f>IF(AND(COUNT(L24,L21)=2),L24*L21,"")</x:f>
      </x:c>
      <x:c r="M39" s="51" t="str">
        <x:f>IF(AND(COUNT(M24,M21)=2),M24*M21,"")</x:f>
      </x:c>
      <x:c r="N39" s="51" t="str">
        <x:f>IF(AND(COUNT(N24,N21)=2),N24*N21,"")</x:f>
      </x:c>
      <x:c r="O39" s="51" t="str">
        <x:f>IF(AND(COUNT(O24,O21)=2),O24*O21,"")</x:f>
      </x:c>
      <x:c r="P39" s="51" t="str">
        <x:f>IF(AND(COUNT(P24,P21)=2),P24*P21,"")</x:f>
      </x:c>
      <x:c r="Q39" s="51" t="str">
        <x:f>IF(AND(COUNT(Q24,Q21)=2),Q24*Q21,"")</x:f>
      </x:c>
      <x:c r="R39" s="42"/>
      <x:c r="S39" s="48"/>
      <x:c r="T39" s="42"/>
    </x:row>
    <x:row r="40" ht="22" customHeight="1">
      <x:c r="A40" s="42"/>
      <x:c r="B40" s="42"/>
      <x:c r="C40" s="42" t="str">
        <x:v>Payroll and employer costs</x:v>
      </x:c>
      <x:c r="D40" s="51" t="str">
        <x:f>IF(COUNT(F40:Q40)=12,SUM(F40:Q40),"")</x:f>
      </x:c>
      <x:c r="E40" s="51"/>
      <x:c r="F40" s="61" t="str">
        <x:f>IF(ISNUMBER('Drivers'!F42),'Drivers'!F42,"")</x:f>
      </x:c>
      <x:c r="G40" s="61" t="str">
        <x:f>IF(ISNUMBER('Drivers'!G42),'Drivers'!G42,"")</x:f>
      </x:c>
      <x:c r="H40" s="61" t="str">
        <x:f>IF(ISNUMBER('Drivers'!H42),'Drivers'!H42,"")</x:f>
      </x:c>
      <x:c r="I40" s="61" t="str">
        <x:f>IF(ISNUMBER('Drivers'!I42),'Drivers'!I42,"")</x:f>
      </x:c>
      <x:c r="J40" s="61" t="str">
        <x:f>IF(ISNUMBER('Drivers'!J42),'Drivers'!J42,"")</x:f>
      </x:c>
      <x:c r="K40" s="61" t="str">
        <x:f>IF(ISNUMBER('Drivers'!K42),'Drivers'!K42,"")</x:f>
      </x:c>
      <x:c r="L40" s="61" t="str">
        <x:f>IF(ISNUMBER('Drivers'!L42),'Drivers'!L42,"")</x:f>
      </x:c>
      <x:c r="M40" s="61" t="str">
        <x:f>IF(ISNUMBER('Drivers'!M42),'Drivers'!M42,"")</x:f>
      </x:c>
      <x:c r="N40" s="61" t="str">
        <x:f>IF(ISNUMBER('Drivers'!N42),'Drivers'!N42,"")</x:f>
      </x:c>
      <x:c r="O40" s="61" t="str">
        <x:f>IF(ISNUMBER('Drivers'!O42),'Drivers'!O42,"")</x:f>
      </x:c>
      <x:c r="P40" s="61" t="str">
        <x:f>IF(ISNUMBER('Drivers'!P42),'Drivers'!P42,"")</x:f>
      </x:c>
      <x:c r="Q40" s="61" t="str">
        <x:f>IF(ISNUMBER('Drivers'!Q42),'Drivers'!Q42,"")</x:f>
      </x:c>
      <x:c r="R40" s="42"/>
      <x:c r="S40" s="48"/>
      <x:c r="T40" s="42"/>
    </x:row>
    <x:row r="41" ht="22" customHeight="1">
      <x:c r="A41" s="42"/>
      <x:c r="B41" s="42"/>
      <x:c r="C41" s="42" t="str">
        <x:v>Utilities</x:v>
      </x:c>
      <x:c r="D41" s="51" t="str">
        <x:f>IF(COUNT(F41:Q41)=12,SUM(F41:Q41),"")</x:f>
      </x:c>
      <x:c r="E41" s="51"/>
      <x:c r="F41" s="61" t="str">
        <x:f>IF(ISNUMBER('Drivers'!F43),'Drivers'!F43,"")</x:f>
      </x:c>
      <x:c r="G41" s="61" t="str">
        <x:f>IF(ISNUMBER('Drivers'!G43),'Drivers'!G43,"")</x:f>
      </x:c>
      <x:c r="H41" s="61" t="str">
        <x:f>IF(ISNUMBER('Drivers'!H43),'Drivers'!H43,"")</x:f>
      </x:c>
      <x:c r="I41" s="61" t="str">
        <x:f>IF(ISNUMBER('Drivers'!I43),'Drivers'!I43,"")</x:f>
      </x:c>
      <x:c r="J41" s="61" t="str">
        <x:f>IF(ISNUMBER('Drivers'!J43),'Drivers'!J43,"")</x:f>
      </x:c>
      <x:c r="K41" s="61" t="str">
        <x:f>IF(ISNUMBER('Drivers'!K43),'Drivers'!K43,"")</x:f>
      </x:c>
      <x:c r="L41" s="61" t="str">
        <x:f>IF(ISNUMBER('Drivers'!L43),'Drivers'!L43,"")</x:f>
      </x:c>
      <x:c r="M41" s="61" t="str">
        <x:f>IF(ISNUMBER('Drivers'!M43),'Drivers'!M43,"")</x:f>
      </x:c>
      <x:c r="N41" s="61" t="str">
        <x:f>IF(ISNUMBER('Drivers'!N43),'Drivers'!N43,"")</x:f>
      </x:c>
      <x:c r="O41" s="61" t="str">
        <x:f>IF(ISNUMBER('Drivers'!O43),'Drivers'!O43,"")</x:f>
      </x:c>
      <x:c r="P41" s="61" t="str">
        <x:f>IF(ISNUMBER('Drivers'!P43),'Drivers'!P43,"")</x:f>
      </x:c>
      <x:c r="Q41" s="61" t="str">
        <x:f>IF(ISNUMBER('Drivers'!Q43),'Drivers'!Q43,"")</x:f>
      </x:c>
      <x:c r="R41" s="42"/>
      <x:c r="S41" s="48"/>
      <x:c r="T41" s="42"/>
    </x:row>
    <x:row r="42" ht="22" customHeight="1">
      <x:c r="A42" s="42"/>
      <x:c r="B42" s="42"/>
      <x:c r="C42" s="42" t="str">
        <x:v>Contracts</x:v>
      </x:c>
      <x:c r="D42" s="51" t="str">
        <x:f>IF(COUNT(F42:Q42)=12,SUM(F42:Q42),"")</x:f>
      </x:c>
      <x:c r="E42" s="51"/>
      <x:c r="F42" s="61" t="str">
        <x:f>IF(ISNUMBER('Drivers'!F44),'Drivers'!F44,"")</x:f>
      </x:c>
      <x:c r="G42" s="61" t="str">
        <x:f>IF(ISNUMBER('Drivers'!G44),'Drivers'!G44,"")</x:f>
      </x:c>
      <x:c r="H42" s="61" t="str">
        <x:f>IF(ISNUMBER('Drivers'!H44),'Drivers'!H44,"")</x:f>
      </x:c>
      <x:c r="I42" s="61" t="str">
        <x:f>IF(ISNUMBER('Drivers'!I44),'Drivers'!I44,"")</x:f>
      </x:c>
      <x:c r="J42" s="61" t="str">
        <x:f>IF(ISNUMBER('Drivers'!J44),'Drivers'!J44,"")</x:f>
      </x:c>
      <x:c r="K42" s="61" t="str">
        <x:f>IF(ISNUMBER('Drivers'!K44),'Drivers'!K44,"")</x:f>
      </x:c>
      <x:c r="L42" s="61" t="str">
        <x:f>IF(ISNUMBER('Drivers'!L44),'Drivers'!L44,"")</x:f>
      </x:c>
      <x:c r="M42" s="61" t="str">
        <x:f>IF(ISNUMBER('Drivers'!M44),'Drivers'!M44,"")</x:f>
      </x:c>
      <x:c r="N42" s="61" t="str">
        <x:f>IF(ISNUMBER('Drivers'!N44),'Drivers'!N44,"")</x:f>
      </x:c>
      <x:c r="O42" s="61" t="str">
        <x:f>IF(ISNUMBER('Drivers'!O44),'Drivers'!O44,"")</x:f>
      </x:c>
      <x:c r="P42" s="61" t="str">
        <x:f>IF(ISNUMBER('Drivers'!P44),'Drivers'!P44,"")</x:f>
      </x:c>
      <x:c r="Q42" s="61" t="str">
        <x:f>IF(ISNUMBER('Drivers'!Q44),'Drivers'!Q44,"")</x:f>
      </x:c>
      <x:c r="R42" s="42"/>
      <x:c r="S42" s="48"/>
      <x:c r="T42" s="42"/>
    </x:row>
    <x:row r="43" ht="22" customHeight="1">
      <x:c r="A43" s="42"/>
      <x:c r="B43" s="42"/>
      <x:c r="C43" s="42" t="str">
        <x:v>Marketing</x:v>
      </x:c>
      <x:c r="D43" s="51" t="str">
        <x:f>IF(COUNT(F43:Q43)=12,SUM(F43:Q43),"")</x:f>
      </x:c>
      <x:c r="E43" s="51"/>
      <x:c r="F43" s="61" t="str">
        <x:f>IF(ISNUMBER('Drivers'!F45),'Drivers'!F45,"")</x:f>
      </x:c>
      <x:c r="G43" s="61" t="str">
        <x:f>IF(ISNUMBER('Drivers'!G45),'Drivers'!G45,"")</x:f>
      </x:c>
      <x:c r="H43" s="61" t="str">
        <x:f>IF(ISNUMBER('Drivers'!H45),'Drivers'!H45,"")</x:f>
      </x:c>
      <x:c r="I43" s="61" t="str">
        <x:f>IF(ISNUMBER('Drivers'!I45),'Drivers'!I45,"")</x:f>
      </x:c>
      <x:c r="J43" s="61" t="str">
        <x:f>IF(ISNUMBER('Drivers'!J45),'Drivers'!J45,"")</x:f>
      </x:c>
      <x:c r="K43" s="61" t="str">
        <x:f>IF(ISNUMBER('Drivers'!K45),'Drivers'!K45,"")</x:f>
      </x:c>
      <x:c r="L43" s="61" t="str">
        <x:f>IF(ISNUMBER('Drivers'!L45),'Drivers'!L45,"")</x:f>
      </x:c>
      <x:c r="M43" s="61" t="str">
        <x:f>IF(ISNUMBER('Drivers'!M45),'Drivers'!M45,"")</x:f>
      </x:c>
      <x:c r="N43" s="61" t="str">
        <x:f>IF(ISNUMBER('Drivers'!N45),'Drivers'!N45,"")</x:f>
      </x:c>
      <x:c r="O43" s="61" t="str">
        <x:f>IF(ISNUMBER('Drivers'!O45),'Drivers'!O45,"")</x:f>
      </x:c>
      <x:c r="P43" s="61" t="str">
        <x:f>IF(ISNUMBER('Drivers'!P45),'Drivers'!P45,"")</x:f>
      </x:c>
      <x:c r="Q43" s="61" t="str">
        <x:f>IF(ISNUMBER('Drivers'!Q45),'Drivers'!Q45,"")</x:f>
      </x:c>
      <x:c r="R43" s="42"/>
      <x:c r="S43" s="48"/>
      <x:c r="T43" s="42"/>
    </x:row>
    <x:row r="44" ht="22" customHeight="1">
      <x:c r="A44" s="42"/>
      <x:c r="B44" s="42"/>
      <x:c r="C44" s="42" t="str">
        <x:v>Maintenance fixed costs</x:v>
      </x:c>
      <x:c r="D44" s="51" t="str">
        <x:f>IF(COUNT(F44:Q44)=12,SUM(F44:Q44),"")</x:f>
      </x:c>
      <x:c r="E44" s="51"/>
      <x:c r="F44" s="61" t="str">
        <x:f>IF(ISNUMBER('Drivers'!F46),'Drivers'!F46,"")</x:f>
      </x:c>
      <x:c r="G44" s="61" t="str">
        <x:f>IF(ISNUMBER('Drivers'!G46),'Drivers'!G46,"")</x:f>
      </x:c>
      <x:c r="H44" s="61" t="str">
        <x:f>IF(ISNUMBER('Drivers'!H46),'Drivers'!H46,"")</x:f>
      </x:c>
      <x:c r="I44" s="61" t="str">
        <x:f>IF(ISNUMBER('Drivers'!I46),'Drivers'!I46,"")</x:f>
      </x:c>
      <x:c r="J44" s="61" t="str">
        <x:f>IF(ISNUMBER('Drivers'!J46),'Drivers'!J46,"")</x:f>
      </x:c>
      <x:c r="K44" s="61" t="str">
        <x:f>IF(ISNUMBER('Drivers'!K46),'Drivers'!K46,"")</x:f>
      </x:c>
      <x:c r="L44" s="61" t="str">
        <x:f>IF(ISNUMBER('Drivers'!L46),'Drivers'!L46,"")</x:f>
      </x:c>
      <x:c r="M44" s="61" t="str">
        <x:f>IF(ISNUMBER('Drivers'!M46),'Drivers'!M46,"")</x:f>
      </x:c>
      <x:c r="N44" s="61" t="str">
        <x:f>IF(ISNUMBER('Drivers'!N46),'Drivers'!N46,"")</x:f>
      </x:c>
      <x:c r="O44" s="61" t="str">
        <x:f>IF(ISNUMBER('Drivers'!O46),'Drivers'!O46,"")</x:f>
      </x:c>
      <x:c r="P44" s="61" t="str">
        <x:f>IF(ISNUMBER('Drivers'!P46),'Drivers'!P46,"")</x:f>
      </x:c>
      <x:c r="Q44" s="61" t="str">
        <x:f>IF(ISNUMBER('Drivers'!Q46),'Drivers'!Q46,"")</x:f>
      </x:c>
      <x:c r="R44" s="42"/>
      <x:c r="S44" s="48"/>
      <x:c r="T44" s="42"/>
    </x:row>
    <x:row r="45" ht="22" customHeight="1">
      <x:c r="A45" s="42"/>
      <x:c r="B45" s="42"/>
      <x:c r="C45" s="42" t="str">
        <x:v>Insurance</x:v>
      </x:c>
      <x:c r="D45" s="51" t="str">
        <x:f>IF(COUNT(F45:Q45)=12,SUM(F45:Q45),"")</x:f>
      </x:c>
      <x:c r="E45" s="51"/>
      <x:c r="F45" s="61" t="str">
        <x:f>IF(ISNUMBER('Drivers'!F47),'Drivers'!F47,"")</x:f>
      </x:c>
      <x:c r="G45" s="61" t="str">
        <x:f>IF(ISNUMBER('Drivers'!G47),'Drivers'!G47,"")</x:f>
      </x:c>
      <x:c r="H45" s="61" t="str">
        <x:f>IF(ISNUMBER('Drivers'!H47),'Drivers'!H47,"")</x:f>
      </x:c>
      <x:c r="I45" s="61" t="str">
        <x:f>IF(ISNUMBER('Drivers'!I47),'Drivers'!I47,"")</x:f>
      </x:c>
      <x:c r="J45" s="61" t="str">
        <x:f>IF(ISNUMBER('Drivers'!J47),'Drivers'!J47,"")</x:f>
      </x:c>
      <x:c r="K45" s="61" t="str">
        <x:f>IF(ISNUMBER('Drivers'!K47),'Drivers'!K47,"")</x:f>
      </x:c>
      <x:c r="L45" s="61" t="str">
        <x:f>IF(ISNUMBER('Drivers'!L47),'Drivers'!L47,"")</x:f>
      </x:c>
      <x:c r="M45" s="61" t="str">
        <x:f>IF(ISNUMBER('Drivers'!M47),'Drivers'!M47,"")</x:f>
      </x:c>
      <x:c r="N45" s="61" t="str">
        <x:f>IF(ISNUMBER('Drivers'!N47),'Drivers'!N47,"")</x:f>
      </x:c>
      <x:c r="O45" s="61" t="str">
        <x:f>IF(ISNUMBER('Drivers'!O47),'Drivers'!O47,"")</x:f>
      </x:c>
      <x:c r="P45" s="61" t="str">
        <x:f>IF(ISNUMBER('Drivers'!P47),'Drivers'!P47,"")</x:f>
      </x:c>
      <x:c r="Q45" s="61" t="str">
        <x:f>IF(ISNUMBER('Drivers'!Q47),'Drivers'!Q47,"")</x:f>
      </x:c>
      <x:c r="R45" s="42"/>
      <x:c r="S45" s="48"/>
      <x:c r="T45" s="42"/>
    </x:row>
    <x:row r="46" ht="22" customHeight="1">
      <x:c r="A46" s="42"/>
      <x:c r="B46" s="42"/>
      <x:c r="C46" s="42" t="str">
        <x:v>Property taxes</x:v>
      </x:c>
      <x:c r="D46" s="51" t="str">
        <x:f>IF(COUNT(F46:Q46)=12,SUM(F46:Q46),"")</x:f>
      </x:c>
      <x:c r="E46" s="51"/>
      <x:c r="F46" s="61" t="str">
        <x:f>IF(ISNUMBER('Drivers'!F48),'Drivers'!F48,"")</x:f>
      </x:c>
      <x:c r="G46" s="61" t="str">
        <x:f>IF(ISNUMBER('Drivers'!G48),'Drivers'!G48,"")</x:f>
      </x:c>
      <x:c r="H46" s="61" t="str">
        <x:f>IF(ISNUMBER('Drivers'!H48),'Drivers'!H48,"")</x:f>
      </x:c>
      <x:c r="I46" s="61" t="str">
        <x:f>IF(ISNUMBER('Drivers'!I48),'Drivers'!I48,"")</x:f>
      </x:c>
      <x:c r="J46" s="61" t="str">
        <x:f>IF(ISNUMBER('Drivers'!J48),'Drivers'!J48,"")</x:f>
      </x:c>
      <x:c r="K46" s="61" t="str">
        <x:f>IF(ISNUMBER('Drivers'!K48),'Drivers'!K48,"")</x:f>
      </x:c>
      <x:c r="L46" s="61" t="str">
        <x:f>IF(ISNUMBER('Drivers'!L48),'Drivers'!L48,"")</x:f>
      </x:c>
      <x:c r="M46" s="61" t="str">
        <x:f>IF(ISNUMBER('Drivers'!M48),'Drivers'!M48,"")</x:f>
      </x:c>
      <x:c r="N46" s="61" t="str">
        <x:f>IF(ISNUMBER('Drivers'!N48),'Drivers'!N48,"")</x:f>
      </x:c>
      <x:c r="O46" s="61" t="str">
        <x:f>IF(ISNUMBER('Drivers'!O48),'Drivers'!O48,"")</x:f>
      </x:c>
      <x:c r="P46" s="61" t="str">
        <x:f>IF(ISNUMBER('Drivers'!P48),'Drivers'!P48,"")</x:f>
      </x:c>
      <x:c r="Q46" s="61" t="str">
        <x:f>IF(ISNUMBER('Drivers'!Q48),'Drivers'!Q48,"")</x:f>
      </x:c>
      <x:c r="R46" s="42"/>
      <x:c r="S46" s="48"/>
      <x:c r="T46" s="42"/>
    </x:row>
    <x:row r="47" ht="22" customHeight="1">
      <x:c r="A47" s="42"/>
      <x:c r="B47" s="42"/>
      <x:c r="C47" s="42" t="str">
        <x:v>Other operating expenses</x:v>
      </x:c>
      <x:c r="D47" s="51" t="str">
        <x:f>IF(COUNT(F47:Q47)=12,SUM(F47:Q47),"")</x:f>
      </x:c>
      <x:c r="E47" s="51"/>
      <x:c r="F47" s="61" t="str">
        <x:f>IF(ISNUMBER('Drivers'!F49),'Drivers'!F49,"")</x:f>
      </x:c>
      <x:c r="G47" s="61" t="str">
        <x:f>IF(ISNUMBER('Drivers'!G49),'Drivers'!G49,"")</x:f>
      </x:c>
      <x:c r="H47" s="61" t="str">
        <x:f>IF(ISNUMBER('Drivers'!H49),'Drivers'!H49,"")</x:f>
      </x:c>
      <x:c r="I47" s="61" t="str">
        <x:f>IF(ISNUMBER('Drivers'!I49),'Drivers'!I49,"")</x:f>
      </x:c>
      <x:c r="J47" s="61" t="str">
        <x:f>IF(ISNUMBER('Drivers'!J49),'Drivers'!J49,"")</x:f>
      </x:c>
      <x:c r="K47" s="61" t="str">
        <x:f>IF(ISNUMBER('Drivers'!K49),'Drivers'!K49,"")</x:f>
      </x:c>
      <x:c r="L47" s="61" t="str">
        <x:f>IF(ISNUMBER('Drivers'!L49),'Drivers'!L49,"")</x:f>
      </x:c>
      <x:c r="M47" s="61" t="str">
        <x:f>IF(ISNUMBER('Drivers'!M49),'Drivers'!M49,"")</x:f>
      </x:c>
      <x:c r="N47" s="61" t="str">
        <x:f>IF(ISNUMBER('Drivers'!N49),'Drivers'!N49,"")</x:f>
      </x:c>
      <x:c r="O47" s="61" t="str">
        <x:f>IF(ISNUMBER('Drivers'!O49),'Drivers'!O49,"")</x:f>
      </x:c>
      <x:c r="P47" s="61" t="str">
        <x:f>IF(ISNUMBER('Drivers'!P49),'Drivers'!P49,"")</x:f>
      </x:c>
      <x:c r="Q47" s="61" t="str">
        <x:f>IF(ISNUMBER('Drivers'!Q49),'Drivers'!Q49,"")</x:f>
      </x:c>
      <x:c r="R47" s="42"/>
      <x:c r="S47" s="48"/>
      <x:c r="T47" s="42"/>
    </x:row>
    <x:row r="48" ht="22" customHeight="1">
      <x:c r="A48" s="42"/>
      <x:c r="B48" s="42"/>
      <x:c r="C48" s="42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42"/>
      <x:c r="S48" s="48"/>
      <x:c r="T48" s="42"/>
    </x:row>
    <x:row r="49" ht="22" customHeight="1">
      <x:c r="A49" s="42"/>
      <x:c r="B49" s="42"/>
      <x:c r="C49" s="42"/>
      <x:c r="D49" s="51"/>
      <x:c r="E49" s="51"/>
      <x:c r="F49" s="51"/>
      <x:c r="G49" s="51"/>
      <x:c r="H49" s="51"/>
      <x:c r="I49" s="51"/>
      <x:c r="J49" s="51"/>
      <x:c r="K49" s="51"/>
      <x:c r="L49" s="51"/>
      <x:c r="M49" s="51"/>
      <x:c r="N49" s="51"/>
      <x:c r="O49" s="51"/>
      <x:c r="P49" s="51"/>
      <x:c r="Q49" s="51"/>
      <x:c r="R49" s="42"/>
      <x:c r="S49" s="48"/>
      <x:c r="T49" s="42"/>
    </x:row>
    <x:row r="50" ht="22" customHeight="1">
      <x:c r="A50" s="42"/>
      <x:c r="B50" s="42"/>
      <x:c r="C50" s="49" t="str">
        <x:v>Operating expenses</x:v>
      </x:c>
      <x:c r="D50" s="50" t="str">
        <x:f>IF(COUNT(F50:Q50)=12,SUM(F50:Q50),"")</x:f>
      </x:c>
      <x:c r="E50" s="50"/>
      <x:c r="F50" s="50" t="str">
        <x:f>IF(AND(COUNT(F36,F37,F38,F39,F40,F41,F42,F43,F44,F45,F46,F47)=12),SUM(F36:F47),"")</x:f>
      </x:c>
      <x:c r="G50" s="50" t="str">
        <x:f>IF(AND(COUNT(G36,G37,G38,G39,G40,G41,G42,G43,G44,G45,G46,G47)=12),SUM(G36:G47),"")</x:f>
      </x:c>
      <x:c r="H50" s="50" t="str">
        <x:f>IF(AND(COUNT(H36,H37,H38,H39,H40,H41,H42,H43,H44,H45,H46,H47)=12),SUM(H36:H47),"")</x:f>
      </x:c>
      <x:c r="I50" s="50" t="str">
        <x:f>IF(AND(COUNT(I36,I37,I38,I39,I40,I41,I42,I43,I44,I45,I46,I47)=12),SUM(I36:I47),"")</x:f>
      </x:c>
      <x:c r="J50" s="50" t="str">
        <x:f>IF(AND(COUNT(J36,J37,J38,J39,J40,J41,J42,J43,J44,J45,J46,J47)=12),SUM(J36:J47),"")</x:f>
      </x:c>
      <x:c r="K50" s="50" t="str">
        <x:f>IF(AND(COUNT(K36,K37,K38,K39,K40,K41,K42,K43,K44,K45,K46,K47)=12),SUM(K36:K47),"")</x:f>
      </x:c>
      <x:c r="L50" s="50" t="str">
        <x:f>IF(AND(COUNT(L36,L37,L38,L39,L40,L41,L42,L43,L44,L45,L46,L47)=12),SUM(L36:L47),"")</x:f>
      </x:c>
      <x:c r="M50" s="50" t="str">
        <x:f>IF(AND(COUNT(M36,M37,M38,M39,M40,M41,M42,M43,M44,M45,M46,M47)=12),SUM(M36:M47),"")</x:f>
      </x:c>
      <x:c r="N50" s="50" t="str">
        <x:f>IF(AND(COUNT(N36,N37,N38,N39,N40,N41,N42,N43,N44,N45,N46,N47)=12),SUM(N36:N47),"")</x:f>
      </x:c>
      <x:c r="O50" s="50" t="str">
        <x:f>IF(AND(COUNT(O36,O37,O38,O39,O40,O41,O42,O43,O44,O45,O46,O47)=12),SUM(O36:O47),"")</x:f>
      </x:c>
      <x:c r="P50" s="50" t="str">
        <x:f>IF(AND(COUNT(P36,P37,P38,P39,P40,P41,P42,P43,P44,P45,P46,P47)=12),SUM(P36:P47),"")</x:f>
      </x:c>
      <x:c r="Q50" s="50" t="str">
        <x:f>IF(AND(COUNT(Q36,Q37,Q38,Q39,Q40,Q41,Q42,Q43,Q44,Q45,Q46,Q47)=12),SUM(Q36:Q47),"")</x:f>
      </x:c>
      <x:c r="R50" s="42"/>
      <x:c r="S50" s="48"/>
      <x:c r="T50" s="42"/>
    </x:row>
    <x:row r="51" ht="22" customHeight="1">
      <x:c r="A51" s="42"/>
      <x:c r="B51" s="42"/>
      <x:c r="C51" s="42"/>
      <x:c r="D51" s="51"/>
      <x:c r="E51" s="51"/>
      <x:c r="F51" s="51"/>
      <x:c r="G51" s="51"/>
      <x:c r="H51" s="51"/>
      <x:c r="I51" s="51"/>
      <x:c r="J51" s="51"/>
      <x:c r="K51" s="51"/>
      <x:c r="L51" s="51"/>
      <x:c r="M51" s="51"/>
      <x:c r="N51" s="51"/>
      <x:c r="O51" s="51"/>
      <x:c r="P51" s="51"/>
      <x:c r="Q51" s="51"/>
      <x:c r="R51" s="42"/>
      <x:c r="S51" s="48"/>
      <x:c r="T51" s="42"/>
    </x:row>
    <x:row r="52" ht="22" customHeight="1">
      <x:c r="A52" s="42"/>
      <x:c r="B52" s="42"/>
      <x:c r="C52" s="49" t="str">
        <x:v>Net operating income</x:v>
      </x:c>
      <x:c r="D52" s="50" t="str">
        <x:f>IF(COUNT(F52:Q52)=12,SUM(F52:Q52),"")</x:f>
      </x:c>
      <x:c r="E52" s="50"/>
      <x:c r="F52" s="50" t="str">
        <x:f>IF(AND(COUNT(F34,F50)=2),F34-F50,"")</x:f>
      </x:c>
      <x:c r="G52" s="50" t="str">
        <x:f>IF(AND(COUNT(G34,G50)=2),G34-G50,"")</x:f>
      </x:c>
      <x:c r="H52" s="50" t="str">
        <x:f>IF(AND(COUNT(H34,H50)=2),H34-H50,"")</x:f>
      </x:c>
      <x:c r="I52" s="50" t="str">
        <x:f>IF(AND(COUNT(I34,I50)=2),I34-I50,"")</x:f>
      </x:c>
      <x:c r="J52" s="50" t="str">
        <x:f>IF(AND(COUNT(J34,J50)=2),J34-J50,"")</x:f>
      </x:c>
      <x:c r="K52" s="50" t="str">
        <x:f>IF(AND(COUNT(K34,K50)=2),K34-K50,"")</x:f>
      </x:c>
      <x:c r="L52" s="50" t="str">
        <x:f>IF(AND(COUNT(L34,L50)=2),L34-L50,"")</x:f>
      </x:c>
      <x:c r="M52" s="50" t="str">
        <x:f>IF(AND(COUNT(M34,M50)=2),M34-M50,"")</x:f>
      </x:c>
      <x:c r="N52" s="50" t="str">
        <x:f>IF(AND(COUNT(N34,N50)=2),N34-N50,"")</x:f>
      </x:c>
      <x:c r="O52" s="50" t="str">
        <x:f>IF(AND(COUNT(O34,O50)=2),O34-O50,"")</x:f>
      </x:c>
      <x:c r="P52" s="50" t="str">
        <x:f>IF(AND(COUNT(P34,P50)=2),P34-P50,"")</x:f>
      </x:c>
      <x:c r="Q52" s="50" t="str">
        <x:f>IF(AND(COUNT(Q34,Q50)=2),Q34-Q50,"")</x:f>
      </x:c>
      <x:c r="R52" s="42"/>
      <x:c r="S52" s="48"/>
      <x:c r="T52" s="42"/>
    </x:row>
    <x:row r="53" ht="22" customHeight="1">
      <x:c r="A53" s="42"/>
      <x:c r="B53" s="42"/>
      <x:c r="C53" s="42" t="str">
        <x:v>NOI margin</x:v>
      </x:c>
      <x:c r="D53" s="63" t="str">
        <x:f>IF(AND(ISNUMBER(D52),ISNUMBER(D34),D34&lt;&gt;0),D52/D34,"")</x:f>
      </x:c>
      <x:c r="E53" s="51"/>
      <x:c r="F53" s="63" t="str">
        <x:f>IF(AND(COUNT(F52,F34)=2,F34&lt;&gt;0),F52/F34,"")</x:f>
      </x:c>
      <x:c r="G53" s="63" t="str">
        <x:f>IF(AND(COUNT(G52,G34)=2,G34&lt;&gt;0),G52/G34,"")</x:f>
      </x:c>
      <x:c r="H53" s="63" t="str">
        <x:f>IF(AND(COUNT(H52,H34)=2,H34&lt;&gt;0),H52/H34,"")</x:f>
      </x:c>
      <x:c r="I53" s="63" t="str">
        <x:f>IF(AND(COUNT(I52,I34)=2,I34&lt;&gt;0),I52/I34,"")</x:f>
      </x:c>
      <x:c r="J53" s="63" t="str">
        <x:f>IF(AND(COUNT(J52,J34)=2,J34&lt;&gt;0),J52/J34,"")</x:f>
      </x:c>
      <x:c r="K53" s="63" t="str">
        <x:f>IF(AND(COUNT(K52,K34)=2,K34&lt;&gt;0),K52/K34,"")</x:f>
      </x:c>
      <x:c r="L53" s="63" t="str">
        <x:f>IF(AND(COUNT(L52,L34)=2,L34&lt;&gt;0),L52/L34,"")</x:f>
      </x:c>
      <x:c r="M53" s="63" t="str">
        <x:f>IF(AND(COUNT(M52,M34)=2,M34&lt;&gt;0),M52/M34,"")</x:f>
      </x:c>
      <x:c r="N53" s="63" t="str">
        <x:f>IF(AND(COUNT(N52,N34)=2,N34&lt;&gt;0),N52/N34,"")</x:f>
      </x:c>
      <x:c r="O53" s="63" t="str">
        <x:f>IF(AND(COUNT(O52,O34)=2,O34&lt;&gt;0),O52/O34,"")</x:f>
      </x:c>
      <x:c r="P53" s="63" t="str">
        <x:f>IF(AND(COUNT(P52,P34)=2,P34&lt;&gt;0),P52/P34,"")</x:f>
      </x:c>
      <x:c r="Q53" s="63" t="str">
        <x:f>IF(AND(COUNT(Q52,Q34)=2,Q34&lt;&gt;0),Q52/Q34,"")</x:f>
      </x:c>
      <x:c r="R53" s="42"/>
      <x:c r="S53" s="48"/>
      <x:c r="T53" s="42"/>
    </x:row>
    <x:row r="54" ht="22" customHeight="1">
      <x:c r="A54" s="42"/>
      <x:c r="B54" s="42"/>
      <x:c r="C54" s="42"/>
      <x:c r="D54" s="51"/>
      <x:c r="E54" s="51"/>
      <x:c r="F54" s="51"/>
      <x:c r="G54" s="51"/>
      <x:c r="H54" s="51"/>
      <x:c r="I54" s="51"/>
      <x:c r="J54" s="51"/>
      <x:c r="K54" s="51"/>
      <x:c r="L54" s="51"/>
      <x:c r="M54" s="51"/>
      <x:c r="N54" s="51"/>
      <x:c r="O54" s="51"/>
      <x:c r="P54" s="51"/>
      <x:c r="Q54" s="51"/>
      <x:c r="R54" s="42"/>
      <x:c r="S54" s="48"/>
      <x:c r="T54" s="42"/>
    </x:row>
    <x:row r="55" ht="22" customHeight="1">
      <x:c r="A55" s="42"/>
      <x:c r="B55" s="42"/>
      <x:c r="C55" s="42" t="str">
        <x:v>Other below-NOI cash costs</x:v>
      </x:c>
      <x:c r="D55" s="51" t="str">
        <x:f>IF(COUNT(F55:Q55)=12,SUM(F55:Q55),"")</x:f>
      </x:c>
      <x:c r="E55" s="51"/>
      <x:c r="F55" s="61" t="str">
        <x:f>IF(ISNUMBER('Drivers'!F50),'Drivers'!F50,"")</x:f>
      </x:c>
      <x:c r="G55" s="61" t="str">
        <x:f>IF(ISNUMBER('Drivers'!G50),'Drivers'!G50,"")</x:f>
      </x:c>
      <x:c r="H55" s="61" t="str">
        <x:f>IF(ISNUMBER('Drivers'!H50),'Drivers'!H50,"")</x:f>
      </x:c>
      <x:c r="I55" s="61" t="str">
        <x:f>IF(ISNUMBER('Drivers'!I50),'Drivers'!I50,"")</x:f>
      </x:c>
      <x:c r="J55" s="61" t="str">
        <x:f>IF(ISNUMBER('Drivers'!J50),'Drivers'!J50,"")</x:f>
      </x:c>
      <x:c r="K55" s="61" t="str">
        <x:f>IF(ISNUMBER('Drivers'!K50),'Drivers'!K50,"")</x:f>
      </x:c>
      <x:c r="L55" s="61" t="str">
        <x:f>IF(ISNUMBER('Drivers'!L50),'Drivers'!L50,"")</x:f>
      </x:c>
      <x:c r="M55" s="61" t="str">
        <x:f>IF(ISNUMBER('Drivers'!M50),'Drivers'!M50,"")</x:f>
      </x:c>
      <x:c r="N55" s="61" t="str">
        <x:f>IF(ISNUMBER('Drivers'!N50),'Drivers'!N50,"")</x:f>
      </x:c>
      <x:c r="O55" s="61" t="str">
        <x:f>IF(ISNUMBER('Drivers'!O50),'Drivers'!O50,"")</x:f>
      </x:c>
      <x:c r="P55" s="61" t="str">
        <x:f>IF(ISNUMBER('Drivers'!P50),'Drivers'!P50,"")</x:f>
      </x:c>
      <x:c r="Q55" s="61" t="str">
        <x:f>IF(ISNUMBER('Drivers'!Q50),'Drivers'!Q50,"")</x:f>
      </x:c>
      <x:c r="R55" s="42"/>
      <x:c r="S55" s="48"/>
      <x:c r="T55" s="42"/>
    </x:row>
    <x:row r="56" ht="22" customHeight="1">
      <x:c r="A56" s="42"/>
      <x:c r="B56" s="42"/>
      <x:c r="C56" s="42" t="str">
        <x:v>Debt interest</x:v>
      </x:c>
      <x:c r="D56" s="51" t="str">
        <x:f>IF(COUNT(F56:Q56)=12,SUM(F56:Q56),"")</x:f>
      </x:c>
      <x:c r="E56" s="51"/>
      <x:c r="F56" s="61" t="str">
        <x:f>IF(ISNUMBER('Drivers'!F51),'Drivers'!F51,"")</x:f>
      </x:c>
      <x:c r="G56" s="61" t="str">
        <x:f>IF(ISNUMBER('Drivers'!G51),'Drivers'!G51,"")</x:f>
      </x:c>
      <x:c r="H56" s="61" t="str">
        <x:f>IF(ISNUMBER('Drivers'!H51),'Drivers'!H51,"")</x:f>
      </x:c>
      <x:c r="I56" s="61" t="str">
        <x:f>IF(ISNUMBER('Drivers'!I51),'Drivers'!I51,"")</x:f>
      </x:c>
      <x:c r="J56" s="61" t="str">
        <x:f>IF(ISNUMBER('Drivers'!J51),'Drivers'!J51,"")</x:f>
      </x:c>
      <x:c r="K56" s="61" t="str">
        <x:f>IF(ISNUMBER('Drivers'!K51),'Drivers'!K51,"")</x:f>
      </x:c>
      <x:c r="L56" s="61" t="str">
        <x:f>IF(ISNUMBER('Drivers'!L51),'Drivers'!L51,"")</x:f>
      </x:c>
      <x:c r="M56" s="61" t="str">
        <x:f>IF(ISNUMBER('Drivers'!M51),'Drivers'!M51,"")</x:f>
      </x:c>
      <x:c r="N56" s="61" t="str">
        <x:f>IF(ISNUMBER('Drivers'!N51),'Drivers'!N51,"")</x:f>
      </x:c>
      <x:c r="O56" s="61" t="str">
        <x:f>IF(ISNUMBER('Drivers'!O51),'Drivers'!O51,"")</x:f>
      </x:c>
      <x:c r="P56" s="61" t="str">
        <x:f>IF(ISNUMBER('Drivers'!P51),'Drivers'!P51,"")</x:f>
      </x:c>
      <x:c r="Q56" s="61" t="str">
        <x:f>IF(ISNUMBER('Drivers'!Q51),'Drivers'!Q51,"")</x:f>
      </x:c>
      <x:c r="R56" s="42"/>
      <x:c r="S56" s="48"/>
      <x:c r="T56" s="42"/>
    </x:row>
    <x:row r="57" ht="22" customHeight="1">
      <x:c r="A57" s="42"/>
      <x:c r="B57" s="42"/>
      <x:c r="C57" s="42" t="str">
        <x:v>Debt principal</x:v>
      </x:c>
      <x:c r="D57" s="51" t="str">
        <x:f>IF(COUNT(F57:Q57)=12,SUM(F57:Q57),"")</x:f>
      </x:c>
      <x:c r="E57" s="51"/>
      <x:c r="F57" s="61" t="str">
        <x:f>IF(ISNUMBER('Drivers'!F52),'Drivers'!F52,"")</x:f>
      </x:c>
      <x:c r="G57" s="61" t="str">
        <x:f>IF(ISNUMBER('Drivers'!G52),'Drivers'!G52,"")</x:f>
      </x:c>
      <x:c r="H57" s="61" t="str">
        <x:f>IF(ISNUMBER('Drivers'!H52),'Drivers'!H52,"")</x:f>
      </x:c>
      <x:c r="I57" s="61" t="str">
        <x:f>IF(ISNUMBER('Drivers'!I52),'Drivers'!I52,"")</x:f>
      </x:c>
      <x:c r="J57" s="61" t="str">
        <x:f>IF(ISNUMBER('Drivers'!J52),'Drivers'!J52,"")</x:f>
      </x:c>
      <x:c r="K57" s="61" t="str">
        <x:f>IF(ISNUMBER('Drivers'!K52),'Drivers'!K52,"")</x:f>
      </x:c>
      <x:c r="L57" s="61" t="str">
        <x:f>IF(ISNUMBER('Drivers'!L52),'Drivers'!L52,"")</x:f>
      </x:c>
      <x:c r="M57" s="61" t="str">
        <x:f>IF(ISNUMBER('Drivers'!M52),'Drivers'!M52,"")</x:f>
      </x:c>
      <x:c r="N57" s="61" t="str">
        <x:f>IF(ISNUMBER('Drivers'!N52),'Drivers'!N52,"")</x:f>
      </x:c>
      <x:c r="O57" s="61" t="str">
        <x:f>IF(ISNUMBER('Drivers'!O52),'Drivers'!O52,"")</x:f>
      </x:c>
      <x:c r="P57" s="61" t="str">
        <x:f>IF(ISNUMBER('Drivers'!P52),'Drivers'!P52,"")</x:f>
      </x:c>
      <x:c r="Q57" s="61" t="str">
        <x:f>IF(ISNUMBER('Drivers'!Q52),'Drivers'!Q52,"")</x:f>
      </x:c>
      <x:c r="R57" s="42"/>
      <x:c r="S57" s="48"/>
      <x:c r="T57" s="42"/>
    </x:row>
    <x:row r="58" ht="22" customHeight="1">
      <x:c r="A58" s="42"/>
      <x:c r="B58" s="42"/>
      <x:c r="C58" s="42" t="str">
        <x:v>Capital expenditure</x:v>
      </x:c>
      <x:c r="D58" s="51" t="str">
        <x:f>IF(COUNT(F58:Q58)=12,SUM(F58:Q58),"")</x:f>
      </x:c>
      <x:c r="E58" s="51"/>
      <x:c r="F58" s="61" t="str">
        <x:f>IF(ISNUMBER('Drivers'!F53),'Drivers'!F53,"")</x:f>
      </x:c>
      <x:c r="G58" s="61" t="str">
        <x:f>IF(ISNUMBER('Drivers'!G53),'Drivers'!G53,"")</x:f>
      </x:c>
      <x:c r="H58" s="61" t="str">
        <x:f>IF(ISNUMBER('Drivers'!H53),'Drivers'!H53,"")</x:f>
      </x:c>
      <x:c r="I58" s="61" t="str">
        <x:f>IF(ISNUMBER('Drivers'!I53),'Drivers'!I53,"")</x:f>
      </x:c>
      <x:c r="J58" s="61" t="str">
        <x:f>IF(ISNUMBER('Drivers'!J53),'Drivers'!J53,"")</x:f>
      </x:c>
      <x:c r="K58" s="61" t="str">
        <x:f>IF(ISNUMBER('Drivers'!K53),'Drivers'!K53,"")</x:f>
      </x:c>
      <x:c r="L58" s="61" t="str">
        <x:f>IF(ISNUMBER('Drivers'!L53),'Drivers'!L53,"")</x:f>
      </x:c>
      <x:c r="M58" s="61" t="str">
        <x:f>IF(ISNUMBER('Drivers'!M53),'Drivers'!M53,"")</x:f>
      </x:c>
      <x:c r="N58" s="61" t="str">
        <x:f>IF(ISNUMBER('Drivers'!N53),'Drivers'!N53,"")</x:f>
      </x:c>
      <x:c r="O58" s="61" t="str">
        <x:f>IF(ISNUMBER('Drivers'!O53),'Drivers'!O53,"")</x:f>
      </x:c>
      <x:c r="P58" s="61" t="str">
        <x:f>IF(ISNUMBER('Drivers'!P53),'Drivers'!P53,"")</x:f>
      </x:c>
      <x:c r="Q58" s="61" t="str">
        <x:f>IF(ISNUMBER('Drivers'!Q53),'Drivers'!Q53,"")</x:f>
      </x:c>
      <x:c r="R58" s="42"/>
      <x:c r="S58" s="48"/>
      <x:c r="T58" s="42"/>
    </x:row>
    <x:row r="59" ht="22" customHeight="1">
      <x:c r="A59" s="42"/>
      <x:c r="B59" s="42"/>
      <x:c r="C59" s="42" t="str">
        <x:v>Working-capital cash use</x:v>
      </x:c>
      <x:c r="D59" s="51" t="str">
        <x:f>IF(COUNT(F59:Q59)=12,SUM(F59:Q59),"")</x:f>
      </x:c>
      <x:c r="E59" s="51"/>
      <x:c r="F59" s="61" t="str">
        <x:f>IF(ISNUMBER('Drivers'!F54),'Drivers'!F54,"")</x:f>
      </x:c>
      <x:c r="G59" s="61" t="str">
        <x:f>IF(ISNUMBER('Drivers'!G54),'Drivers'!G54,"")</x:f>
      </x:c>
      <x:c r="H59" s="61" t="str">
        <x:f>IF(ISNUMBER('Drivers'!H54),'Drivers'!H54,"")</x:f>
      </x:c>
      <x:c r="I59" s="61" t="str">
        <x:f>IF(ISNUMBER('Drivers'!I54),'Drivers'!I54,"")</x:f>
      </x:c>
      <x:c r="J59" s="61" t="str">
        <x:f>IF(ISNUMBER('Drivers'!J54),'Drivers'!J54,"")</x:f>
      </x:c>
      <x:c r="K59" s="61" t="str">
        <x:f>IF(ISNUMBER('Drivers'!K54),'Drivers'!K54,"")</x:f>
      </x:c>
      <x:c r="L59" s="61" t="str">
        <x:f>IF(ISNUMBER('Drivers'!L54),'Drivers'!L54,"")</x:f>
      </x:c>
      <x:c r="M59" s="61" t="str">
        <x:f>IF(ISNUMBER('Drivers'!M54),'Drivers'!M54,"")</x:f>
      </x:c>
      <x:c r="N59" s="61" t="str">
        <x:f>IF(ISNUMBER('Drivers'!N54),'Drivers'!N54,"")</x:f>
      </x:c>
      <x:c r="O59" s="61" t="str">
        <x:f>IF(ISNUMBER('Drivers'!O54),'Drivers'!O54,"")</x:f>
      </x:c>
      <x:c r="P59" s="61" t="str">
        <x:f>IF(ISNUMBER('Drivers'!P54),'Drivers'!P54,"")</x:f>
      </x:c>
      <x:c r="Q59" s="61" t="str">
        <x:f>IF(ISNUMBER('Drivers'!Q54),'Drivers'!Q54,"")</x:f>
      </x:c>
      <x:c r="R59" s="42"/>
      <x:c r="S59" s="48"/>
      <x:c r="T59" s="42"/>
    </x:row>
    <x:row r="60" ht="22" customHeight="1">
      <x:c r="A60" s="42"/>
      <x:c r="B60" s="42"/>
      <x:c r="C60" s="42"/>
      <x:c r="D60" s="51"/>
      <x:c r="E60" s="51"/>
      <x:c r="F60" s="51"/>
      <x:c r="G60" s="51"/>
      <x:c r="H60" s="51"/>
      <x:c r="I60" s="51"/>
      <x:c r="J60" s="51"/>
      <x:c r="K60" s="51"/>
      <x:c r="L60" s="51"/>
      <x:c r="M60" s="51"/>
      <x:c r="N60" s="51"/>
      <x:c r="O60" s="51"/>
      <x:c r="P60" s="51"/>
      <x:c r="Q60" s="51"/>
      <x:c r="R60" s="42"/>
      <x:c r="S60" s="48"/>
      <x:c r="T60" s="42"/>
    </x:row>
    <x:row r="61" ht="22" customHeight="1">
      <x:c r="A61" s="42"/>
      <x:c r="B61" s="42"/>
      <x:c r="C61" s="49" t="str">
        <x:v>Net cash flow</x:v>
      </x:c>
      <x:c r="D61" s="50" t="str">
        <x:f>IF(COUNT(F61:Q61)=12,SUM(F61:Q61),"")</x:f>
      </x:c>
      <x:c r="E61" s="50"/>
      <x:c r="F61" s="50" t="str">
        <x:f>IF(AND(COUNT(F52,F55,F56,F57,F58,F59)=6),F52-SUM(F55:F59),"")</x:f>
      </x:c>
      <x:c r="G61" s="50" t="str">
        <x:f>IF(AND(COUNT(G52,G55,G56,G57,G58,G59)=6),G52-SUM(G55:G59),"")</x:f>
      </x:c>
      <x:c r="H61" s="50" t="str">
        <x:f>IF(AND(COUNT(H52,H55,H56,H57,H58,H59)=6),H52-SUM(H55:H59),"")</x:f>
      </x:c>
      <x:c r="I61" s="50" t="str">
        <x:f>IF(AND(COUNT(I52,I55,I56,I57,I58,I59)=6),I52-SUM(I55:I59),"")</x:f>
      </x:c>
      <x:c r="J61" s="50" t="str">
        <x:f>IF(AND(COUNT(J52,J55,J56,J57,J58,J59)=6),J52-SUM(J55:J59),"")</x:f>
      </x:c>
      <x:c r="K61" s="50" t="str">
        <x:f>IF(AND(COUNT(K52,K55,K56,K57,K58,K59)=6),K52-SUM(K55:K59),"")</x:f>
      </x:c>
      <x:c r="L61" s="50" t="str">
        <x:f>IF(AND(COUNT(L52,L55,L56,L57,L58,L59)=6),L52-SUM(L55:L59),"")</x:f>
      </x:c>
      <x:c r="M61" s="50" t="str">
        <x:f>IF(AND(COUNT(M52,M55,M56,M57,M58,M59)=6),M52-SUM(M55:M59),"")</x:f>
      </x:c>
      <x:c r="N61" s="50" t="str">
        <x:f>IF(AND(COUNT(N52,N55,N56,N57,N58,N59)=6),N52-SUM(N55:N59),"")</x:f>
      </x:c>
      <x:c r="O61" s="50" t="str">
        <x:f>IF(AND(COUNT(O52,O55,O56,O57,O58,O59)=6),O52-SUM(O55:O59),"")</x:f>
      </x:c>
      <x:c r="P61" s="50" t="str">
        <x:f>IF(AND(COUNT(P52,P55,P56,P57,P58,P59)=6),P52-SUM(P55:P59),"")</x:f>
      </x:c>
      <x:c r="Q61" s="50" t="str">
        <x:f>IF(AND(COUNT(Q52,Q55,Q56,Q57,Q58,Q59)=6),Q52-SUM(Q55:Q59),"")</x:f>
      </x:c>
      <x:c r="R61" s="42"/>
      <x:c r="S61" s="48"/>
      <x:c r="T61" s="42"/>
    </x:row>
    <x:row r="62" ht="22" customHeight="1">
      <x:c r="A62" s="42"/>
      <x:c r="B62" s="42"/>
      <x:c r="C62" s="42"/>
      <x:c r="D62" s="51"/>
      <x:c r="E62" s="51"/>
      <x:c r="F62" s="51"/>
      <x:c r="G62" s="51"/>
      <x:c r="H62" s="51"/>
      <x:c r="I62" s="51"/>
      <x:c r="J62" s="51"/>
      <x:c r="K62" s="51"/>
      <x:c r="L62" s="51"/>
      <x:c r="M62" s="51"/>
      <x:c r="N62" s="51"/>
      <x:c r="O62" s="51"/>
      <x:c r="P62" s="51"/>
      <x:c r="Q62" s="51"/>
      <x:c r="R62" s="42"/>
      <x:c r="S62" s="48"/>
      <x:c r="T62" s="42"/>
    </x:row>
    <x:row r="63" ht="22" customHeight="1">
      <x:c r="A63" s="42"/>
      <x:c r="B63" s="42"/>
      <x:c r="C63" s="42" t="str">
        <x:v>RevPAR per available unit-night</x:v>
      </x:c>
      <x:c r="D63" s="51"/>
      <x:c r="E63" s="51"/>
      <x:c r="F63" s="51" t="str">
        <x:f>IF(AND(COUNT(F28,F23)=2,F23&gt;0),F28/F23,"")</x:f>
      </x:c>
      <x:c r="G63" s="51" t="str">
        <x:f>IF(AND(COUNT(G28,G23)=2,G23&gt;0),G28/G23,"")</x:f>
      </x:c>
      <x:c r="H63" s="51" t="str">
        <x:f>IF(AND(COUNT(H28,H23)=2,H23&gt;0),H28/H23,"")</x:f>
      </x:c>
      <x:c r="I63" s="51" t="str">
        <x:f>IF(AND(COUNT(I28,I23)=2,I23&gt;0),I28/I23,"")</x:f>
      </x:c>
      <x:c r="J63" s="51" t="str">
        <x:f>IF(AND(COUNT(J28,J23)=2,J23&gt;0),J28/J23,"")</x:f>
      </x:c>
      <x:c r="K63" s="51" t="str">
        <x:f>IF(AND(COUNT(K28,K23)=2,K23&gt;0),K28/K23,"")</x:f>
      </x:c>
      <x:c r="L63" s="51" t="str">
        <x:f>IF(AND(COUNT(L28,L23)=2,L23&gt;0),L28/L23,"")</x:f>
      </x:c>
      <x:c r="M63" s="51" t="str">
        <x:f>IF(AND(COUNT(M28,M23)=2,M23&gt;0),M28/M23,"")</x:f>
      </x:c>
      <x:c r="N63" s="51" t="str">
        <x:f>IF(AND(COUNT(N28,N23)=2,N23&gt;0),N28/N23,"")</x:f>
      </x:c>
      <x:c r="O63" s="51" t="str">
        <x:f>IF(AND(COUNT(O28,O23)=2,O23&gt;0),O28/O23,"")</x:f>
      </x:c>
      <x:c r="P63" s="51" t="str">
        <x:f>IF(AND(COUNT(P28,P23)=2,P23&gt;0),P28/P23,"")</x:f>
      </x:c>
      <x:c r="Q63" s="51" t="str">
        <x:f>IF(AND(COUNT(Q28,Q23)=2,Q23&gt;0),Q28/Q23,"")</x:f>
      </x:c>
      <x:c r="R63" s="42"/>
      <x:c r="S63" s="48"/>
      <x:c r="T63" s="42"/>
    </x:row>
    <x:row r="64" ht="22" customHeight="1">
      <x:c r="A64" s="42"/>
      <x:c r="B64" s="42"/>
      <x:c r="C64" s="42" t="str">
        <x:v>Break-even booked nights</x:v>
      </x:c>
      <x:c r="D64" s="51" t="str">
        <x:f>IF(COUNT(F64:Q64)=12,SUM(F64:Q64),"")</x:f>
      </x:c>
      <x:c r="E64" s="51"/>
      <x:c r="F64" s="51" t="str">
        <x:f>IF(AND(COUNT(F67,F66)=2,F66&gt;0),F67/F66,"")</x:f>
      </x:c>
      <x:c r="G64" s="51" t="str">
        <x:f>IF(AND(COUNT(G67,G66)=2,G66&gt;0),G67/G66,"")</x:f>
      </x:c>
      <x:c r="H64" s="51" t="str">
        <x:f>IF(AND(COUNT(H67,H66)=2,H66&gt;0),H67/H66,"")</x:f>
      </x:c>
      <x:c r="I64" s="51" t="str">
        <x:f>IF(AND(COUNT(I67,I66)=2,I66&gt;0),I67/I66,"")</x:f>
      </x:c>
      <x:c r="J64" s="51" t="str">
        <x:f>IF(AND(COUNT(J67,J66)=2,J66&gt;0),J67/J66,"")</x:f>
      </x:c>
      <x:c r="K64" s="51" t="str">
        <x:f>IF(AND(COUNT(K67,K66)=2,K66&gt;0),K67/K66,"")</x:f>
      </x:c>
      <x:c r="L64" s="51" t="str">
        <x:f>IF(AND(COUNT(L67,L66)=2,L66&gt;0),L67/L66,"")</x:f>
      </x:c>
      <x:c r="M64" s="51" t="str">
        <x:f>IF(AND(COUNT(M67,M66)=2,M66&gt;0),M67/M66,"")</x:f>
      </x:c>
      <x:c r="N64" s="51" t="str">
        <x:f>IF(AND(COUNT(N67,N66)=2,N66&gt;0),N67/N66,"")</x:f>
      </x:c>
      <x:c r="O64" s="51" t="str">
        <x:f>IF(AND(COUNT(O67,O66)=2,O66&gt;0),O67/O66,"")</x:f>
      </x:c>
      <x:c r="P64" s="51" t="str">
        <x:f>IF(AND(COUNT(P67,P66)=2,P66&gt;0),P67/P66,"")</x:f>
      </x:c>
      <x:c r="Q64" s="51" t="str">
        <x:f>IF(AND(COUNT(Q67,Q66)=2,Q66&gt;0),Q67/Q66,"")</x:f>
      </x:c>
      <x:c r="R64" s="42"/>
      <x:c r="S64" s="48"/>
      <x:c r="T64" s="42"/>
    </x:row>
    <x:row r="65" ht="22" customHeight="1">
      <x:c r="A65" s="42"/>
      <x:c r="B65" s="42"/>
      <x:c r="C65" s="42" t="str">
        <x:v>Break-even occupancy</x:v>
      </x:c>
      <x:c r="D65" s="51"/>
      <x:c r="E65" s="51"/>
      <x:c r="F65" s="63" t="str">
        <x:f>IF(AND(COUNT(F64,F23)=2,F23&gt;0),F64/F23,"")</x:f>
      </x:c>
      <x:c r="G65" s="63" t="str">
        <x:f>IF(AND(COUNT(G64,G23)=2,G23&gt;0),G64/G23,"")</x:f>
      </x:c>
      <x:c r="H65" s="63" t="str">
        <x:f>IF(AND(COUNT(H64,H23)=2,H23&gt;0),H64/H23,"")</x:f>
      </x:c>
      <x:c r="I65" s="63" t="str">
        <x:f>IF(AND(COUNT(I64,I23)=2,I23&gt;0),I64/I23,"")</x:f>
      </x:c>
      <x:c r="J65" s="63" t="str">
        <x:f>IF(AND(COUNT(J64,J23)=2,J23&gt;0),J64/J23,"")</x:f>
      </x:c>
      <x:c r="K65" s="63" t="str">
        <x:f>IF(AND(COUNT(K64,K23)=2,K23&gt;0),K64/K23,"")</x:f>
      </x:c>
      <x:c r="L65" s="63" t="str">
        <x:f>IF(AND(COUNT(L64,L23)=2,L23&gt;0),L64/L23,"")</x:f>
      </x:c>
      <x:c r="M65" s="63" t="str">
        <x:f>IF(AND(COUNT(M64,M23)=2,M23&gt;0),M64/M23,"")</x:f>
      </x:c>
      <x:c r="N65" s="63" t="str">
        <x:f>IF(AND(COUNT(N64,N23)=2,N23&gt;0),N64/N23,"")</x:f>
      </x:c>
      <x:c r="O65" s="63" t="str">
        <x:f>IF(AND(COUNT(O64,O23)=2,O23&gt;0),O64/O23,"")</x:f>
      </x:c>
      <x:c r="P65" s="63" t="str">
        <x:f>IF(AND(COUNT(P64,P23)=2,P23&gt;0),P64/P23,"")</x:f>
      </x:c>
      <x:c r="Q65" s="63" t="str">
        <x:f>IF(AND(COUNT(Q64,Q23)=2,Q23&gt;0),Q64/Q23,"")</x:f>
      </x:c>
      <x:c r="R65" s="42"/>
      <x:c r="S65" s="48" t="str">
        <x:v>Above 100% means operating break-even is not achievable at these assumptions.</x:v>
      </x:c>
      <x:c r="T65" s="42"/>
    </x:row>
    <x:row r="66" ht="22" customHeight="1">
      <x:c r="A66" s="42"/>
      <x:c r="B66" s="42"/>
      <x:c r="C66" s="42" t="str">
        <x:v>Contribution per booked night</x:v>
      </x:c>
      <x:c r="D66" s="51"/>
      <x:c r="E66" s="51"/>
      <x:c r="F66" s="51" t="str">
        <x:f>IF(AND(COUNT(F10,F12,F13,F14,F15,F16,F17,F18,F19,F20,F21)=11,F12&gt;0),F10*(1-F19-F20-F13*F14-F18)+(F15+F17-F16)/F12-F21,"")</x:f>
      </x:c>
      <x:c r="G66" s="51" t="str">
        <x:f>IF(AND(COUNT(G10,G12,G13,G14,G15,G16,G17,G18,G19,G20,G21)=11,G12&gt;0),G10*(1-G19-G20-G13*G14-G18)+(G15+G17-G16)/G12-G21,"")</x:f>
      </x:c>
      <x:c r="H66" s="51" t="str">
        <x:f>IF(AND(COUNT(H10,H12,H13,H14,H15,H16,H17,H18,H19,H20,H21)=11,H12&gt;0),H10*(1-H19-H20-H13*H14-H18)+(H15+H17-H16)/H12-H21,"")</x:f>
      </x:c>
      <x:c r="I66" s="51" t="str">
        <x:f>IF(AND(COUNT(I10,I12,I13,I14,I15,I16,I17,I18,I19,I20,I21)=11,I12&gt;0),I10*(1-I19-I20-I13*I14-I18)+(I15+I17-I16)/I12-I21,"")</x:f>
      </x:c>
      <x:c r="J66" s="51" t="str">
        <x:f>IF(AND(COUNT(J10,J12,J13,J14,J15,J16,J17,J18,J19,J20,J21)=11,J12&gt;0),J10*(1-J19-J20-J13*J14-J18)+(J15+J17-J16)/J12-J21,"")</x:f>
      </x:c>
      <x:c r="K66" s="51" t="str">
        <x:f>IF(AND(COUNT(K10,K12,K13,K14,K15,K16,K17,K18,K19,K20,K21)=11,K12&gt;0),K10*(1-K19-K20-K13*K14-K18)+(K15+K17-K16)/K12-K21,"")</x:f>
      </x:c>
      <x:c r="L66" s="51" t="str">
        <x:f>IF(AND(COUNT(L10,L12,L13,L14,L15,L16,L17,L18,L19,L20,L21)=11,L12&gt;0),L10*(1-L19-L20-L13*L14-L18)+(L15+L17-L16)/L12-L21,"")</x:f>
      </x:c>
      <x:c r="M66" s="51" t="str">
        <x:f>IF(AND(COUNT(M10,M12,M13,M14,M15,M16,M17,M18,M19,M20,M21)=11,M12&gt;0),M10*(1-M19-M20-M13*M14-M18)+(M15+M17-M16)/M12-M21,"")</x:f>
      </x:c>
      <x:c r="N66" s="51" t="str">
        <x:f>IF(AND(COUNT(N10,N12,N13,N14,N15,N16,N17,N18,N19,N20,N21)=11,N12&gt;0),N10*(1-N19-N20-N13*N14-N18)+(N15+N17-N16)/N12-N21,"")</x:f>
      </x:c>
      <x:c r="O66" s="51" t="str">
        <x:f>IF(AND(COUNT(O10,O12,O13,O14,O15,O16,O17,O18,O19,O20,O21)=11,O12&gt;0),O10*(1-O19-O20-O13*O14-O18)+(O15+O17-O16)/O12-O21,"")</x:f>
      </x:c>
      <x:c r="P66" s="51" t="str">
        <x:f>IF(AND(COUNT(P10,P12,P13,P14,P15,P16,P17,P18,P19,P20,P21)=11,P12&gt;0),P10*(1-P19-P20-P13*P14-P18)+(P15+P17-P16)/P12-P21,"")</x:f>
      </x:c>
      <x:c r="Q66" s="51" t="str">
        <x:f>IF(AND(COUNT(Q10,Q12,Q13,Q14,Q15,Q16,Q17,Q18,Q19,Q20,Q21)=11,Q12&gt;0),Q10*(1-Q19-Q20-Q13*Q14-Q18)+(Q15+Q17-Q16)/Q12-Q21,"")</x:f>
      </x:c>
      <x:c r="R66" s="42"/>
      <x:c r="S66" s="42"/>
      <x:c r="T66" s="42"/>
    </x:row>
    <x:row r="67" ht="22" customHeight="1">
      <x:c r="A67" s="42"/>
      <x:c r="B67" s="42"/>
      <x:c r="C67" s="42" t="str">
        <x:v>Fixed operating expenses</x:v>
      </x:c>
      <x:c r="D67" s="51" t="str">
        <x:f>IF(COUNT(F67:Q67)=12,SUM(F67:Q67),"")</x:f>
      </x:c>
      <x:c r="E67" s="51"/>
      <x:c r="F67" s="51" t="str">
        <x:f>IF(AND(COUNT(F40,F41,F42,F43,F44,F45,F46,F47)=8),SUM(F40:F47),"")</x:f>
      </x:c>
      <x:c r="G67" s="51" t="str">
        <x:f>IF(AND(COUNT(G40,G41,G42,G43,G44,G45,G46,G47)=8),SUM(G40:G47),"")</x:f>
      </x:c>
      <x:c r="H67" s="51" t="str">
        <x:f>IF(AND(COUNT(H40,H41,H42,H43,H44,H45,H46,H47)=8),SUM(H40:H47),"")</x:f>
      </x:c>
      <x:c r="I67" s="51" t="str">
        <x:f>IF(AND(COUNT(I40,I41,I42,I43,I44,I45,I46,I47)=8),SUM(I40:I47),"")</x:f>
      </x:c>
      <x:c r="J67" s="51" t="str">
        <x:f>IF(AND(COUNT(J40,J41,J42,J43,J44,J45,J46,J47)=8),SUM(J40:J47),"")</x:f>
      </x:c>
      <x:c r="K67" s="51" t="str">
        <x:f>IF(AND(COUNT(K40,K41,K42,K43,K44,K45,K46,K47)=8),SUM(K40:K47),"")</x:f>
      </x:c>
      <x:c r="L67" s="51" t="str">
        <x:f>IF(AND(COUNT(L40,L41,L42,L43,L44,L45,L46,L47)=8),SUM(L40:L47),"")</x:f>
      </x:c>
      <x:c r="M67" s="51" t="str">
        <x:f>IF(AND(COUNT(M40,M41,M42,M43,M44,M45,M46,M47)=8),SUM(M40:M47),"")</x:f>
      </x:c>
      <x:c r="N67" s="51" t="str">
        <x:f>IF(AND(COUNT(N40,N41,N42,N43,N44,N45,N46,N47)=8),SUM(N40:N47),"")</x:f>
      </x:c>
      <x:c r="O67" s="51" t="str">
        <x:f>IF(AND(COUNT(O40,O41,O42,O43,O44,O45,O46,O47)=8),SUM(O40:O47),"")</x:f>
      </x:c>
      <x:c r="P67" s="51" t="str">
        <x:f>IF(AND(COUNT(P40,P41,P42,P43,P44,P45,P46,P47)=8),SUM(P40:P47),"")</x:f>
      </x:c>
      <x:c r="Q67" s="51" t="str">
        <x:f>IF(AND(COUNT(Q40,Q41,Q42,Q43,Q44,Q45,Q46,Q47)=8),SUM(Q40:Q47),"")</x:f>
      </x:c>
      <x:c r="R67" s="42"/>
      <x:c r="S67" s="42"/>
      <x:c r="T67" s="42"/>
    </x:row>
    <x:row r="68" ht="22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</x:row>
    <x:row r="69" ht="22" customHeight="1">
      <x:c r="A69" s="42"/>
      <x:c r="B69" s="42"/>
      <x:c r="C69" s="54" t="str">
        <x:v>Original budget comparison</x:v>
      </x:c>
      <x:c r="D69" s="54"/>
      <x:c r="E69" s="54"/>
      <x:c r="F69" s="54"/>
      <x:c r="G69" s="54"/>
      <x:c r="H69" s="54"/>
      <x:c r="I69" s="54"/>
      <x:c r="J69" s="54"/>
      <x:c r="K69" s="54"/>
      <x:c r="L69" s="54"/>
      <x:c r="M69" s="54"/>
      <x:c r="N69" s="54"/>
      <x:c r="O69" s="54"/>
      <x:c r="P69" s="54"/>
      <x:c r="Q69" s="54"/>
      <x:c r="R69" s="42"/>
      <x:c r="S69" s="42"/>
      <x:c r="T69" s="42"/>
    </x:row>
    <x:row r="70" ht="22" customHeight="1">
      <x:c r="A70" s="42"/>
      <x:c r="B70" s="42"/>
      <x:c r="C70" s="42" t="str">
        <x:v>Original budget effective revenue</x:v>
      </x:c>
      <x:c r="D70" s="51" t="str">
        <x:f>IF(COUNT(F70:Q70)=12,SUM(F70:Q70),"")</x:f>
      </x:c>
      <x:c r="E70" s="51"/>
      <x:c r="F70" s="61" t="str">
        <x:f>IF(AND('Original Budget'!F$6=F$6,'Original Budget'!F7&lt;&gt;"",'Original Budget'!F8&lt;&gt;"",'Original Budget'!F9&lt;&gt;"",COUNT('Original Budget'!F12:F33)=22),SUM('Original Budget'!F12:F16),"")</x:f>
      </x:c>
      <x:c r="G70" s="61" t="str">
        <x:f>IF(AND('Original Budget'!G$6=G$6,'Original Budget'!G7&lt;&gt;"",'Original Budget'!G8&lt;&gt;"",'Original Budget'!G9&lt;&gt;"",COUNT('Original Budget'!G12:G33)=22),SUM('Original Budget'!G12:G16),"")</x:f>
      </x:c>
      <x:c r="H70" s="61" t="str">
        <x:f>IF(AND('Original Budget'!H$6=H$6,'Original Budget'!H7&lt;&gt;"",'Original Budget'!H8&lt;&gt;"",'Original Budget'!H9&lt;&gt;"",COUNT('Original Budget'!H12:H33)=22),SUM('Original Budget'!H12:H16),"")</x:f>
      </x:c>
      <x:c r="I70" s="61" t="str">
        <x:f>IF(AND('Original Budget'!I$6=I$6,'Original Budget'!I7&lt;&gt;"",'Original Budget'!I8&lt;&gt;"",'Original Budget'!I9&lt;&gt;"",COUNT('Original Budget'!I12:I33)=22),SUM('Original Budget'!I12:I16),"")</x:f>
      </x:c>
      <x:c r="J70" s="61" t="str">
        <x:f>IF(AND('Original Budget'!J$6=J$6,'Original Budget'!J7&lt;&gt;"",'Original Budget'!J8&lt;&gt;"",'Original Budget'!J9&lt;&gt;"",COUNT('Original Budget'!J12:J33)=22),SUM('Original Budget'!J12:J16),"")</x:f>
      </x:c>
      <x:c r="K70" s="61" t="str">
        <x:f>IF(AND('Original Budget'!K$6=K$6,'Original Budget'!K7&lt;&gt;"",'Original Budget'!K8&lt;&gt;"",'Original Budget'!K9&lt;&gt;"",COUNT('Original Budget'!K12:K33)=22),SUM('Original Budget'!K12:K16),"")</x:f>
      </x:c>
      <x:c r="L70" s="61" t="str">
        <x:f>IF(AND('Original Budget'!L$6=L$6,'Original Budget'!L7&lt;&gt;"",'Original Budget'!L8&lt;&gt;"",'Original Budget'!L9&lt;&gt;"",COUNT('Original Budget'!L12:L33)=22),SUM('Original Budget'!L12:L16),"")</x:f>
      </x:c>
      <x:c r="M70" s="61" t="str">
        <x:f>IF(AND('Original Budget'!M$6=M$6,'Original Budget'!M7&lt;&gt;"",'Original Budget'!M8&lt;&gt;"",'Original Budget'!M9&lt;&gt;"",COUNT('Original Budget'!M12:M33)=22),SUM('Original Budget'!M12:M16),"")</x:f>
      </x:c>
      <x:c r="N70" s="61" t="str">
        <x:f>IF(AND('Original Budget'!N$6=N$6,'Original Budget'!N7&lt;&gt;"",'Original Budget'!N8&lt;&gt;"",'Original Budget'!N9&lt;&gt;"",COUNT('Original Budget'!N12:N33)=22),SUM('Original Budget'!N12:N16),"")</x:f>
      </x:c>
      <x:c r="O70" s="61" t="str">
        <x:f>IF(AND('Original Budget'!O$6=O$6,'Original Budget'!O7&lt;&gt;"",'Original Budget'!O8&lt;&gt;"",'Original Budget'!O9&lt;&gt;"",COUNT('Original Budget'!O12:O33)=22),SUM('Original Budget'!O12:O16),"")</x:f>
      </x:c>
      <x:c r="P70" s="61" t="str">
        <x:f>IF(AND('Original Budget'!P$6=P$6,'Original Budget'!P7&lt;&gt;"",'Original Budget'!P8&lt;&gt;"",'Original Budget'!P9&lt;&gt;"",COUNT('Original Budget'!P12:P33)=22),SUM('Original Budget'!P12:P16),"")</x:f>
      </x:c>
      <x:c r="Q70" s="61" t="str">
        <x:f>IF(AND('Original Budget'!Q$6=Q$6,'Original Budget'!Q7&lt;&gt;"",'Original Budget'!Q8&lt;&gt;"",'Original Budget'!Q9&lt;&gt;"",COUNT('Original Budget'!Q12:Q33)=22),SUM('Original Budget'!Q12:Q16),"")</x:f>
      </x:c>
      <x:c r="R70" s="42"/>
      <x:c r="S70" s="42"/>
      <x:c r="T70" s="42"/>
    </x:row>
    <x:row r="71" ht="22" customHeight="1">
      <x:c r="A71" s="42"/>
      <x:c r="B71" s="42"/>
      <x:c r="C71" s="42" t="str">
        <x:v>Original budget OPEX</x:v>
      </x:c>
      <x:c r="D71" s="51" t="str">
        <x:f>IF(COUNT(F71:Q71)=12,SUM(F71:Q71),"")</x:f>
      </x:c>
      <x:c r="E71" s="51"/>
      <x:c r="F71" s="61" t="str">
        <x:f>IF(AND('Original Budget'!F$6=F$6,'Original Budget'!F7&lt;&gt;"",'Original Budget'!F8&lt;&gt;"",'Original Budget'!F9&lt;&gt;"",COUNT('Original Budget'!F12:F33)=22),SUM('Original Budget'!F17:F28),"")</x:f>
      </x:c>
      <x:c r="G71" s="61" t="str">
        <x:f>IF(AND('Original Budget'!G$6=G$6,'Original Budget'!G7&lt;&gt;"",'Original Budget'!G8&lt;&gt;"",'Original Budget'!G9&lt;&gt;"",COUNT('Original Budget'!G12:G33)=22),SUM('Original Budget'!G17:G28),"")</x:f>
      </x:c>
      <x:c r="H71" s="61" t="str">
        <x:f>IF(AND('Original Budget'!H$6=H$6,'Original Budget'!H7&lt;&gt;"",'Original Budget'!H8&lt;&gt;"",'Original Budget'!H9&lt;&gt;"",COUNT('Original Budget'!H12:H33)=22),SUM('Original Budget'!H17:H28),"")</x:f>
      </x:c>
      <x:c r="I71" s="61" t="str">
        <x:f>IF(AND('Original Budget'!I$6=I$6,'Original Budget'!I7&lt;&gt;"",'Original Budget'!I8&lt;&gt;"",'Original Budget'!I9&lt;&gt;"",COUNT('Original Budget'!I12:I33)=22),SUM('Original Budget'!I17:I28),"")</x:f>
      </x:c>
      <x:c r="J71" s="61" t="str">
        <x:f>IF(AND('Original Budget'!J$6=J$6,'Original Budget'!J7&lt;&gt;"",'Original Budget'!J8&lt;&gt;"",'Original Budget'!J9&lt;&gt;"",COUNT('Original Budget'!J12:J33)=22),SUM('Original Budget'!J17:J28),"")</x:f>
      </x:c>
      <x:c r="K71" s="61" t="str">
        <x:f>IF(AND('Original Budget'!K$6=K$6,'Original Budget'!K7&lt;&gt;"",'Original Budget'!K8&lt;&gt;"",'Original Budget'!K9&lt;&gt;"",COUNT('Original Budget'!K12:K33)=22),SUM('Original Budget'!K17:K28),"")</x:f>
      </x:c>
      <x:c r="L71" s="61" t="str">
        <x:f>IF(AND('Original Budget'!L$6=L$6,'Original Budget'!L7&lt;&gt;"",'Original Budget'!L8&lt;&gt;"",'Original Budget'!L9&lt;&gt;"",COUNT('Original Budget'!L12:L33)=22),SUM('Original Budget'!L17:L28),"")</x:f>
      </x:c>
      <x:c r="M71" s="61" t="str">
        <x:f>IF(AND('Original Budget'!M$6=M$6,'Original Budget'!M7&lt;&gt;"",'Original Budget'!M8&lt;&gt;"",'Original Budget'!M9&lt;&gt;"",COUNT('Original Budget'!M12:M33)=22),SUM('Original Budget'!M17:M28),"")</x:f>
      </x:c>
      <x:c r="N71" s="61" t="str">
        <x:f>IF(AND('Original Budget'!N$6=N$6,'Original Budget'!N7&lt;&gt;"",'Original Budget'!N8&lt;&gt;"",'Original Budget'!N9&lt;&gt;"",COUNT('Original Budget'!N12:N33)=22),SUM('Original Budget'!N17:N28),"")</x:f>
      </x:c>
      <x:c r="O71" s="61" t="str">
        <x:f>IF(AND('Original Budget'!O$6=O$6,'Original Budget'!O7&lt;&gt;"",'Original Budget'!O8&lt;&gt;"",'Original Budget'!O9&lt;&gt;"",COUNT('Original Budget'!O12:O33)=22),SUM('Original Budget'!O17:O28),"")</x:f>
      </x:c>
      <x:c r="P71" s="61" t="str">
        <x:f>IF(AND('Original Budget'!P$6=P$6,'Original Budget'!P7&lt;&gt;"",'Original Budget'!P8&lt;&gt;"",'Original Budget'!P9&lt;&gt;"",COUNT('Original Budget'!P12:P33)=22),SUM('Original Budget'!P17:P28),"")</x:f>
      </x:c>
      <x:c r="Q71" s="61" t="str">
        <x:f>IF(AND('Original Budget'!Q$6=Q$6,'Original Budget'!Q7&lt;&gt;"",'Original Budget'!Q8&lt;&gt;"",'Original Budget'!Q9&lt;&gt;"",COUNT('Original Budget'!Q12:Q33)=22),SUM('Original Budget'!Q17:Q28),"")</x:f>
      </x:c>
      <x:c r="R71" s="42"/>
      <x:c r="S71" s="42"/>
      <x:c r="T71" s="42"/>
    </x:row>
    <x:row r="72" ht="22" customHeight="1">
      <x:c r="A72" s="42"/>
      <x:c r="B72" s="42"/>
      <x:c r="C72" s="42" t="str">
        <x:v>Original budget NOI</x:v>
      </x:c>
      <x:c r="D72" s="51" t="str">
        <x:f>IF(COUNT(F72:Q72)=12,SUM(F72:Q72),"")</x:f>
      </x:c>
      <x:c r="E72" s="51"/>
      <x:c r="F72" s="51" t="str">
        <x:f>IF(COUNT(F70:F71)=2,F70-F71,"")</x:f>
      </x:c>
      <x:c r="G72" s="51" t="str">
        <x:f>IF(COUNT(G70:G71)=2,G70-G71,"")</x:f>
      </x:c>
      <x:c r="H72" s="51" t="str">
        <x:f>IF(COUNT(H70:H71)=2,H70-H71,"")</x:f>
      </x:c>
      <x:c r="I72" s="51" t="str">
        <x:f>IF(COUNT(I70:I71)=2,I70-I71,"")</x:f>
      </x:c>
      <x:c r="J72" s="51" t="str">
        <x:f>IF(COUNT(J70:J71)=2,J70-J71,"")</x:f>
      </x:c>
      <x:c r="K72" s="51" t="str">
        <x:f>IF(COUNT(K70:K71)=2,K70-K71,"")</x:f>
      </x:c>
      <x:c r="L72" s="51" t="str">
        <x:f>IF(COUNT(L70:L71)=2,L70-L71,"")</x:f>
      </x:c>
      <x:c r="M72" s="51" t="str">
        <x:f>IF(COUNT(M70:M71)=2,M70-M71,"")</x:f>
      </x:c>
      <x:c r="N72" s="51" t="str">
        <x:f>IF(COUNT(N70:N71)=2,N70-N71,"")</x:f>
      </x:c>
      <x:c r="O72" s="51" t="str">
        <x:f>IF(COUNT(O70:O71)=2,O70-O71,"")</x:f>
      </x:c>
      <x:c r="P72" s="51" t="str">
        <x:f>IF(COUNT(P70:P71)=2,P70-P71,"")</x:f>
      </x:c>
      <x:c r="Q72" s="51" t="str">
        <x:f>IF(COUNT(Q70:Q71)=2,Q70-Q71,"")</x:f>
      </x:c>
      <x:c r="R72" s="42"/>
      <x:c r="S72" s="42"/>
      <x:c r="T72" s="42"/>
    </x:row>
    <x:row r="73" ht="22" customHeight="1">
      <x:c r="A73" s="42"/>
      <x:c r="B73" s="42"/>
      <x:c r="C73" s="42" t="str">
        <x:v>Original budget net cash flow</x:v>
      </x:c>
      <x:c r="D73" s="51" t="str">
        <x:f>IF(COUNT(F73:Q73)=12,SUM(F73:Q73),"")</x:f>
      </x:c>
      <x:c r="E73" s="51"/>
      <x:c r="F73" s="51" t="str">
        <x:f>IF(AND('Original Budget'!F$6=F$6,'Original Budget'!F7&lt;&gt;"",'Original Budget'!F8&lt;&gt;"",'Original Budget'!F9&lt;&gt;"",COUNT('Original Budget'!F12:F33)=22),F72-SUM('Original Budget'!F29:F33),"")</x:f>
      </x:c>
      <x:c r="G73" s="51" t="str">
        <x:f>IF(AND('Original Budget'!G$6=G$6,'Original Budget'!G7&lt;&gt;"",'Original Budget'!G8&lt;&gt;"",'Original Budget'!G9&lt;&gt;"",COUNT('Original Budget'!G12:G33)=22),G72-SUM('Original Budget'!G29:G33),"")</x:f>
      </x:c>
      <x:c r="H73" s="51" t="str">
        <x:f>IF(AND('Original Budget'!H$6=H$6,'Original Budget'!H7&lt;&gt;"",'Original Budget'!H8&lt;&gt;"",'Original Budget'!H9&lt;&gt;"",COUNT('Original Budget'!H12:H33)=22),H72-SUM('Original Budget'!H29:H33),"")</x:f>
      </x:c>
      <x:c r="I73" s="51" t="str">
        <x:f>IF(AND('Original Budget'!I$6=I$6,'Original Budget'!I7&lt;&gt;"",'Original Budget'!I8&lt;&gt;"",'Original Budget'!I9&lt;&gt;"",COUNT('Original Budget'!I12:I33)=22),I72-SUM('Original Budget'!I29:I33),"")</x:f>
      </x:c>
      <x:c r="J73" s="51" t="str">
        <x:f>IF(AND('Original Budget'!J$6=J$6,'Original Budget'!J7&lt;&gt;"",'Original Budget'!J8&lt;&gt;"",'Original Budget'!J9&lt;&gt;"",COUNT('Original Budget'!J12:J33)=22),J72-SUM('Original Budget'!J29:J33),"")</x:f>
      </x:c>
      <x:c r="K73" s="51" t="str">
        <x:f>IF(AND('Original Budget'!K$6=K$6,'Original Budget'!K7&lt;&gt;"",'Original Budget'!K8&lt;&gt;"",'Original Budget'!K9&lt;&gt;"",COUNT('Original Budget'!K12:K33)=22),K72-SUM('Original Budget'!K29:K33),"")</x:f>
      </x:c>
      <x:c r="L73" s="51" t="str">
        <x:f>IF(AND('Original Budget'!L$6=L$6,'Original Budget'!L7&lt;&gt;"",'Original Budget'!L8&lt;&gt;"",'Original Budget'!L9&lt;&gt;"",COUNT('Original Budget'!L12:L33)=22),L72-SUM('Original Budget'!L29:L33),"")</x:f>
      </x:c>
      <x:c r="M73" s="51" t="str">
        <x:f>IF(AND('Original Budget'!M$6=M$6,'Original Budget'!M7&lt;&gt;"",'Original Budget'!M8&lt;&gt;"",'Original Budget'!M9&lt;&gt;"",COUNT('Original Budget'!M12:M33)=22),M72-SUM('Original Budget'!M29:M33),"")</x:f>
      </x:c>
      <x:c r="N73" s="51" t="str">
        <x:f>IF(AND('Original Budget'!N$6=N$6,'Original Budget'!N7&lt;&gt;"",'Original Budget'!N8&lt;&gt;"",'Original Budget'!N9&lt;&gt;"",COUNT('Original Budget'!N12:N33)=22),N72-SUM('Original Budget'!N29:N33),"")</x:f>
      </x:c>
      <x:c r="O73" s="51" t="str">
        <x:f>IF(AND('Original Budget'!O$6=O$6,'Original Budget'!O7&lt;&gt;"",'Original Budget'!O8&lt;&gt;"",'Original Budget'!O9&lt;&gt;"",COUNT('Original Budget'!O12:O33)=22),O72-SUM('Original Budget'!O29:O33),"")</x:f>
      </x:c>
      <x:c r="P73" s="51" t="str">
        <x:f>IF(AND('Original Budget'!P$6=P$6,'Original Budget'!P7&lt;&gt;"",'Original Budget'!P8&lt;&gt;"",'Original Budget'!P9&lt;&gt;"",COUNT('Original Budget'!P12:P33)=22),P72-SUM('Original Budget'!P29:P33),"")</x:f>
      </x:c>
      <x:c r="Q73" s="51" t="str">
        <x:f>IF(AND('Original Budget'!Q$6=Q$6,'Original Budget'!Q7&lt;&gt;"",'Original Budget'!Q8&lt;&gt;"",'Original Budget'!Q9&lt;&gt;"",COUNT('Original Budget'!Q12:Q33)=22),Q72-SUM('Original Budget'!Q29:Q33),"")</x:f>
      </x:c>
      <x:c r="R73" s="42"/>
      <x:c r="S73" s="42"/>
      <x:c r="T73" s="42"/>
    </x:row>
    <x:row r="74" ht="22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</x:row>
    <x:row r="75" ht="22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</x:row>
    <x:row r="76" ht="22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</x:row>
    <x:row r="77" ht="22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</x:row>
    <x:row r="78" ht="2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</x:row>
    <x:row r="79" ht="2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</x:row>
    <x:row r="80" ht="2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</x:row>
    <x:row r="81" ht="2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</x:row>
    <x:row r="82" ht="22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</x:row>
    <x:row r="83" ht="22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</x:row>
    <x:row r="84" ht="22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</x:row>
    <x:row r="85" ht="22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</x:row>
    <x:row r="86" ht="22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</x:row>
    <x:row r="87" ht="22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</x:row>
    <x:row r="88" ht="22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</x:row>
    <x:row r="89" ht="22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</x:row>
    <x:row r="90" ht="22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" hidden="0" customWidth="1"/>
    <x:col min="19" max="19" width="58" hidden="0" customWidth="1"/>
  </x:cols>
  <x:sheetData>
    <x:row r="1" ht="22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22" customHeight="1">
      <x:c r="A2" s="42"/>
      <x:c r="B2" s="42"/>
      <x:c r="C2" s="43" t="str">
        <x:v>Original Budget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2"/>
      <x:c r="S2" s="42"/>
      <x:c r="T2" s="42"/>
    </x:row>
    <x:row r="3" ht="22" customHeight="1">
      <x:c r="A3" s="42"/>
      <x:c r="B3" s="42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2"/>
      <x:c r="S3" s="42"/>
      <x:c r="T3" s="42"/>
    </x:row>
    <x:row r="4" ht="22" customHeight="1">
      <x:c r="A4" s="42"/>
      <x:c r="B4" s="42"/>
      <x:c r="C4" s="42" t="str">
        <x:v>Evidence from the immutable original approved budget. Keep reforecast edits in Drivers.</x:v>
      </x:c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</x:row>
    <x:row r="5" ht="22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</x:row>
    <x:row r="6" ht="22" customHeight="1">
      <x:c r="A6" s="42"/>
      <x:c r="B6" s="42"/>
      <x:c r="C6" s="46" t="str">
        <x:v>Measure</x:v>
      </x:c>
      <x:c r="D6" s="46" t="str">
        <x:v>Provisional GL</x:v>
      </x:c>
      <x:c r="E6" s="42"/>
      <x:c r="F6" s="64" t="n">
        <x:v>46388</x:v>
      </x:c>
      <x:c r="G6" s="64" t="n">
        <x:v>46419</x:v>
      </x:c>
      <x:c r="H6" s="64" t="n">
        <x:v>46447</x:v>
      </x:c>
      <x:c r="I6" s="64" t="n">
        <x:v>46478</x:v>
      </x:c>
      <x:c r="J6" s="64" t="n">
        <x:v>46508</x:v>
      </x:c>
      <x:c r="K6" s="64" t="n">
        <x:v>46539</x:v>
      </x:c>
      <x:c r="L6" s="64" t="n">
        <x:v>46569</x:v>
      </x:c>
      <x:c r="M6" s="64" t="n">
        <x:v>46600</x:v>
      </x:c>
      <x:c r="N6" s="64" t="n">
        <x:v>46631</x:v>
      </x:c>
      <x:c r="O6" s="64" t="n">
        <x:v>46661</x:v>
      </x:c>
      <x:c r="P6" s="64" t="n">
        <x:v>46692</x:v>
      </x:c>
      <x:c r="Q6" s="64" t="n">
        <x:v>46722</x:v>
      </x:c>
      <x:c r="R6" s="42"/>
      <x:c r="S6" s="42"/>
      <x:c r="T6" s="42"/>
    </x:row>
    <x:row r="7" ht="22" customHeight="1">
      <x:c r="A7" s="42"/>
      <x:c r="B7" s="42"/>
      <x:c r="C7" s="42" t="str">
        <x:v>Approved original budget version</x:v>
      </x:c>
      <x:c r="D7" s="42"/>
      <x:c r="E7" s="42"/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42"/>
      <x:c r="S7" s="42"/>
      <x:c r="T7" s="42"/>
    </x:row>
    <x:row r="8" ht="22" customHeight="1">
      <x:c r="A8" s="42"/>
      <x:c r="B8" s="42"/>
      <x:c r="C8" s="42" t="str">
        <x:v>Content hash</x:v>
      </x:c>
      <x:c r="D8" s="42"/>
      <x:c r="E8" s="42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42"/>
      <x:c r="S8" s="42"/>
      <x:c r="T8" s="42"/>
    </x:row>
    <x:row r="9" ht="22" customHeight="1">
      <x:c r="A9" s="42"/>
      <x:c r="B9" s="42"/>
      <x:c r="C9" s="42" t="str">
        <x:v>Publication / receipt ID</x:v>
      </x:c>
      <x:c r="D9" s="42"/>
      <x:c r="E9" s="42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42"/>
      <x:c r="S9" s="42"/>
      <x:c r="T9" s="42"/>
    </x:row>
    <x:row r="10" ht="22" customHeight="1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</x:row>
    <x:row r="11" ht="22" customHeight="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</x:row>
    <x:row r="12" ht="22" customHeight="1">
      <x:c r="A12" s="42"/>
      <x:c r="B12" s="42"/>
      <x:c r="C12" s="42" t="str">
        <x:v>Lodging revenue</x:v>
      </x:c>
      <x:c r="D12" s="42" t="str">
        <x:v>410100</x:v>
      </x:c>
      <x:c r="E12" s="42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42"/>
      <x:c r="S12" s="42"/>
      <x:c r="T12" s="42"/>
    </x:row>
    <x:row r="13" ht="22" customHeight="1">
      <x:c r="A13" s="42"/>
      <x:c r="B13" s="42"/>
      <x:c r="C13" s="42" t="str">
        <x:v>Cleaning fee income</x:v>
      </x:c>
      <x:c r="D13" s="42" t="str">
        <x:v>410200</x:v>
      </x:c>
      <x:c r="E13" s="42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42"/>
      <x:c r="S13" s="42"/>
      <x:c r="T13" s="42"/>
    </x:row>
    <x:row r="14" ht="22" customHeight="1">
      <x:c r="A14" s="42"/>
      <x:c r="B14" s="42"/>
      <x:c r="C14" s="42" t="str">
        <x:v>Other guest fee income</x:v>
      </x:c>
      <x:c r="D14" s="42" t="str">
        <x:v>410300</x:v>
      </x:c>
      <x:c r="E14" s="42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42"/>
      <x:c r="S14" s="42"/>
      <x:c r="T14" s="42"/>
    </x:row>
    <x:row r="15" ht="22" customHeight="1">
      <x:c r="A15" s="42"/>
      <x:c r="B15" s="42"/>
      <x:c r="C15" s="42" t="str">
        <x:v>Refunds and discounts</x:v>
      </x:c>
      <x:c r="D15" s="42" t="str">
        <x:v>419100</x:v>
      </x:c>
      <x:c r="E15" s="42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42"/>
      <x:c r="S15" s="42"/>
      <x:c r="T15" s="42"/>
    </x:row>
    <x:row r="16" ht="22" customHeight="1">
      <x:c r="A16" s="42"/>
      <x:c r="B16" s="42"/>
      <x:c r="C16" s="42" t="str">
        <x:v>Bad debt</x:v>
      </x:c>
      <x:c r="D16" s="42" t="str">
        <x:v>419200</x:v>
      </x:c>
      <x:c r="E16" s="42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42"/>
      <x:c r="S16" s="42"/>
      <x:c r="T16" s="42"/>
    </x:row>
    <x:row r="17" ht="22" customHeight="1">
      <x:c r="A17" s="42"/>
      <x:c r="B17" s="42"/>
      <x:c r="C17" s="42" t="str">
        <x:v>Channel commissions</x:v>
      </x:c>
      <x:c r="D17" s="42" t="str">
        <x:v>610100</x:v>
      </x:c>
      <x:c r="E17" s="42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42"/>
      <x:c r="S17" s="42"/>
      <x:c r="T17" s="42"/>
    </x:row>
    <x:row r="18" ht="22" customHeight="1">
      <x:c r="A18" s="42"/>
      <x:c r="B18" s="42"/>
      <x:c r="C18" s="42" t="str">
        <x:v>Cleaning expense</x:v>
      </x:c>
      <x:c r="D18" s="42" t="str">
        <x:v>610200</x:v>
      </x:c>
      <x:c r="E18" s="42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42"/>
      <x:c r="S18" s="42"/>
      <x:c r="T18" s="42"/>
    </x:row>
    <x:row r="19" ht="22" customHeight="1">
      <x:c r="A19" s="42"/>
      <x:c r="B19" s="42"/>
      <x:c r="C19" s="42" t="str">
        <x:v>Property-borne lodging tax</x:v>
      </x:c>
      <x:c r="D19" s="42" t="str">
        <x:v>610300</x:v>
      </x:c>
      <x:c r="E19" s="42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42"/>
      <x:c r="S19" s="42"/>
      <x:c r="T19" s="42"/>
    </x:row>
    <x:row r="20" ht="22" customHeight="1">
      <x:c r="A20" s="42"/>
      <x:c r="B20" s="42"/>
      <x:c r="C20" s="42" t="str">
        <x:v>Supplies</x:v>
      </x:c>
      <x:c r="D20" s="42" t="str">
        <x:v>610400</x:v>
      </x:c>
      <x:c r="E20" s="42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42"/>
      <x:c r="S20" s="42"/>
      <x:c r="T20" s="42"/>
    </x:row>
    <x:row r="21" ht="22" customHeight="1">
      <x:c r="A21" s="42"/>
      <x:c r="B21" s="42"/>
      <x:c r="C21" s="42" t="str">
        <x:v>Payroll</x:v>
      </x:c>
      <x:c r="D21" s="42" t="str">
        <x:v>620100</x:v>
      </x:c>
      <x:c r="E21" s="42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42"/>
      <x:c r="S21" s="42"/>
      <x:c r="T21" s="42"/>
    </x:row>
    <x:row r="22" ht="22" customHeight="1">
      <x:c r="A22" s="42"/>
      <x:c r="B22" s="42"/>
      <x:c r="C22" s="42" t="str">
        <x:v>Utilities</x:v>
      </x:c>
      <x:c r="D22" s="42" t="str">
        <x:v>630100</x:v>
      </x:c>
      <x:c r="E22" s="42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42"/>
      <x:c r="S22" s="42"/>
      <x:c r="T22" s="42"/>
    </x:row>
    <x:row r="23" ht="22" customHeight="1">
      <x:c r="A23" s="42"/>
      <x:c r="B23" s="42"/>
      <x:c r="C23" s="42" t="str">
        <x:v>Contracts</x:v>
      </x:c>
      <x:c r="D23" s="42" t="str">
        <x:v>640100</x:v>
      </x:c>
      <x:c r="E23" s="42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42"/>
      <x:c r="S23" s="42"/>
      <x:c r="T23" s="42"/>
    </x:row>
    <x:row r="24" ht="22" customHeight="1">
      <x:c r="A24" s="42"/>
      <x:c r="B24" s="42"/>
      <x:c r="C24" s="42" t="str">
        <x:v>Marketing</x:v>
      </x:c>
      <x:c r="D24" s="42" t="str">
        <x:v>650100</x:v>
      </x:c>
      <x:c r="E24" s="42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42"/>
      <x:c r="S24" s="42"/>
      <x:c r="T24" s="42"/>
    </x:row>
    <x:row r="25" ht="22" customHeight="1">
      <x:c r="A25" s="42"/>
      <x:c r="B25" s="42"/>
      <x:c r="C25" s="42" t="str">
        <x:v>Maintenance</x:v>
      </x:c>
      <x:c r="D25" s="42" t="str">
        <x:v>660100</x:v>
      </x:c>
      <x:c r="E25" s="42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42"/>
      <x:c r="S25" s="42"/>
      <x:c r="T25" s="42"/>
    </x:row>
    <x:row r="26" ht="22" customHeight="1">
      <x:c r="A26" s="42"/>
      <x:c r="B26" s="42"/>
      <x:c r="C26" s="42" t="str">
        <x:v>Insurance</x:v>
      </x:c>
      <x:c r="D26" s="42" t="str">
        <x:v>670100</x:v>
      </x:c>
      <x:c r="E26" s="42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42"/>
      <x:c r="S26" s="42"/>
      <x:c r="T26" s="42"/>
    </x:row>
    <x:row r="27" ht="22" customHeight="1">
      <x:c r="A27" s="42"/>
      <x:c r="B27" s="42"/>
      <x:c r="C27" s="42" t="str">
        <x:v>Property taxes</x:v>
      </x:c>
      <x:c r="D27" s="42" t="str">
        <x:v>680100</x:v>
      </x:c>
      <x:c r="E27" s="42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42"/>
      <x:c r="S27" s="42"/>
      <x:c r="T27" s="42"/>
    </x:row>
    <x:row r="28" ht="22" customHeight="1">
      <x:c r="A28" s="42"/>
      <x:c r="B28" s="42"/>
      <x:c r="C28" s="42" t="str">
        <x:v>Other operating expenses</x:v>
      </x:c>
      <x:c r="D28" s="42" t="str">
        <x:v>690100</x:v>
      </x:c>
      <x:c r="E28" s="42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42"/>
      <x:c r="S28" s="42"/>
      <x:c r="T28" s="42"/>
    </x:row>
    <x:row r="29" ht="22" customHeight="1">
      <x:c r="A29" s="42"/>
      <x:c r="B29" s="42"/>
      <x:c r="C29" s="42" t="str">
        <x:v>Other below-NOI cash costs</x:v>
      </x:c>
      <x:c r="D29" s="42" t="str">
        <x:v>710100</x:v>
      </x:c>
      <x:c r="E29" s="42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42"/>
      <x:c r="S29" s="42"/>
      <x:c r="T29" s="42"/>
    </x:row>
    <x:row r="30" ht="22" customHeight="1">
      <x:c r="A30" s="42"/>
      <x:c r="B30" s="42"/>
      <x:c r="C30" s="42" t="str">
        <x:v>Debt interest</x:v>
      </x:c>
      <x:c r="D30" s="42" t="str">
        <x:v>720100</x:v>
      </x:c>
      <x:c r="E30" s="42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42"/>
      <x:c r="S30" s="42"/>
      <x:c r="T30" s="42"/>
    </x:row>
    <x:row r="31" ht="22" customHeight="1">
      <x:c r="A31" s="42"/>
      <x:c r="B31" s="42"/>
      <x:c r="C31" s="42" t="str">
        <x:v>Debt principal</x:v>
      </x:c>
      <x:c r="D31" s="42" t="str">
        <x:v>720200</x:v>
      </x:c>
      <x:c r="E31" s="42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42"/>
      <x:c r="S31" s="42"/>
      <x:c r="T31" s="42"/>
    </x:row>
    <x:row r="32" ht="22" customHeight="1">
      <x:c r="A32" s="42"/>
      <x:c r="B32" s="42"/>
      <x:c r="C32" s="42" t="str">
        <x:v>Capital expenditure</x:v>
      </x:c>
      <x:c r="D32" s="42" t="str">
        <x:v>730100</x:v>
      </x:c>
      <x:c r="E32" s="42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42"/>
      <x:c r="S32" s="42"/>
      <x:c r="T32" s="42"/>
    </x:row>
    <x:row r="33" ht="22" customHeight="1">
      <x:c r="A33" s="42"/>
      <x:c r="B33" s="42"/>
      <x:c r="C33" s="42" t="str">
        <x:v>Working-capital cash use</x:v>
      </x:c>
      <x:c r="D33" s="42" t="str">
        <x:v>740100</x:v>
      </x:c>
      <x:c r="E33" s="42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42"/>
      <x:c r="S33" s="42"/>
      <x:c r="T33" s="42"/>
    </x:row>
    <x:row r="34" ht="22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</x:row>
    <x:row r="35" ht="22" customHeight="1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</x:row>
    <x:row r="36" ht="22" customHeight="1">
      <x:c r="A36" s="42"/>
      <x:c r="B36" s="42"/>
      <x:c r="C36" s="42" t="str">
        <x:v>Source file or ATLAS export reference</x:v>
      </x:c>
      <x:c r="D36" s="42"/>
      <x:c r="E36" s="42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42"/>
      <x:c r="S36" s="42"/>
      <x:c r="T36" s="42"/>
    </x:row>
    <x:row r="37" ht="22" customHeight="1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</x:row>
    <x:row r="38" ht="22" customHeight="1">
      <x:c r="A38" s="42"/>
      <x:c r="B38" s="42"/>
      <x:c r="C38" s="42" t="str">
        <x:v>Every leaf needs a value. A blank remains missing; a valid zero is entered as 0.</x:v>
      </x:c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</x:row>
    <x:row r="39" ht="22" customHeight="1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</x:row>
    <x:row r="40" ht="22" customHeight="1">
      <x:c r="A40" s="42"/>
      <x:c r="B40" s="42"/>
      <x:c r="C40" s="42" t="str">
        <x:v>GL rows use provisional mapping until the authorized registry has been confirmed.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</x:row>
    <x:row r="41" ht="22" customHeight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</x:row>
    <x:row r="42" ht="22" customHeight="1">
      <x:c r="A42" s="42"/>
      <x:c r="B42" s="42"/>
      <x:c r="C42" s="42" t="str">
        <x:v>Source dates are independent. Replace date headers only with the matching dated ATLAS export.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</x:row>
    <x:row r="43" ht="22" customHeight="1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</x:row>
    <x:row r="44" ht="22" customHeight="1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</x:row>
    <x:row r="45" ht="22" customHeight="1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</x:row>
    <x:row r="46" ht="22" customHeight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</x:row>
    <x:row r="47" ht="22" customHeight="1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</x:row>
    <x:row r="48" ht="22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</x:row>
    <x:row r="49" ht="22" customHeight="1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</x:row>
    <x:row r="50" ht="22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</x:row>
    <x:row r="51" ht="22" customHeight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</x:row>
    <x:row r="52" ht="22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</x:row>
    <x:row r="53" ht="22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</x:row>
    <x:row r="54" ht="22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</x:row>
    <x:row r="55" ht="22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</x:row>
    <x:row r="56" ht="22" customHeight="1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</x:row>
    <x:row r="57" ht="22" customHeight="1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</x:row>
    <x:row r="58" ht="22" customHeight="1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</x:row>
    <x:row r="59" ht="22" customHeight="1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</x:row>
    <x:row r="60" ht="22" customHeight="1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</x:row>
    <x:row r="61" ht="22" customHeight="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</x:row>
    <x:row r="62" ht="22" customHeight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</x:row>
    <x:row r="63" ht="22" customHeight="1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</x:row>
    <x:row r="64" ht="22" customHeight="1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</x:row>
    <x:row r="65" ht="22" customHeight="1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</x:row>
    <x:row r="66" ht="22" customHeight="1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</x:row>
    <x:row r="67" ht="22" customHeight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</x:row>
    <x:row r="68" ht="22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</x:row>
    <x:row r="69" ht="22" customHeight="1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</x:row>
    <x:row r="70" ht="22" customHeight="1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</x:row>
    <x:row r="71" ht="22" customHeight="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</x:row>
    <x:row r="72" ht="22" customHeight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</x:row>
    <x:row r="73" ht="22" customHeight="1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</x:row>
    <x:row r="74" ht="22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</x:row>
    <x:row r="75" ht="22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</x:row>
    <x:row r="76" ht="22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</x:row>
    <x:row r="77" ht="22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</x:row>
    <x:row r="78" ht="2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</x:row>
    <x:row r="79" ht="2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</x:row>
    <x:row r="80" ht="2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</x:row>
    <x:row r="81" ht="2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</x:row>
    <x:row r="82" ht="22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</x:row>
    <x:row r="83" ht="22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</x:row>
    <x:row r="84" ht="22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</x:row>
    <x:row r="85" ht="22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</x:row>
    <x:row r="86" ht="22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</x:row>
    <x:row r="87" ht="22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</x:row>
    <x:row r="88" ht="22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</x:row>
    <x:row r="89" ht="22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</x:row>
    <x:row r="90" ht="22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C5A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" hidden="0" customWidth="1"/>
    <x:col min="19" max="19" width="58" hidden="0" customWidth="1"/>
  </x:cols>
  <x:sheetData>
    <x:row r="1" ht="22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22" customHeight="1">
      <x:c r="A2" s="42"/>
      <x:c r="B2" s="42"/>
      <x:c r="C2" s="43" t="str">
        <x:v>Closed Actuals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2"/>
      <x:c r="S2" s="42"/>
      <x:c r="T2" s="42"/>
    </x:row>
    <x:row r="3" ht="22" customHeight="1">
      <x:c r="A3" s="42"/>
      <x:c r="B3" s="42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2"/>
      <x:c r="S3" s="42"/>
      <x:c r="T3" s="42"/>
    </x:row>
    <x:row r="4" ht="22" customHeight="1">
      <x:c r="A4" s="42"/>
      <x:c r="B4" s="42"/>
      <x:c r="C4" s="42" t="str">
        <x:v>Evidence from canonical ATLAS closes only. Uploaded values never approve or replace actuals.</x:v>
      </x:c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</x:row>
    <x:row r="5" ht="22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</x:row>
    <x:row r="6" ht="22" customHeight="1">
      <x:c r="A6" s="42"/>
      <x:c r="B6" s="42"/>
      <x:c r="C6" s="46" t="str">
        <x:v>Measure</x:v>
      </x:c>
      <x:c r="D6" s="46" t="str">
        <x:v>Provisional GL</x:v>
      </x:c>
      <x:c r="E6" s="42"/>
      <x:c r="F6" s="64" t="n">
        <x:v>46388</x:v>
      </x:c>
      <x:c r="G6" s="64" t="n">
        <x:v>46419</x:v>
      </x:c>
      <x:c r="H6" s="64" t="n">
        <x:v>46447</x:v>
      </x:c>
      <x:c r="I6" s="64" t="n">
        <x:v>46478</x:v>
      </x:c>
      <x:c r="J6" s="64" t="n">
        <x:v>46508</x:v>
      </x:c>
      <x:c r="K6" s="64" t="n">
        <x:v>46539</x:v>
      </x:c>
      <x:c r="L6" s="64" t="n">
        <x:v>46569</x:v>
      </x:c>
      <x:c r="M6" s="64" t="n">
        <x:v>46600</x:v>
      </x:c>
      <x:c r="N6" s="64" t="n">
        <x:v>46631</x:v>
      </x:c>
      <x:c r="O6" s="64" t="n">
        <x:v>46661</x:v>
      </x:c>
      <x:c r="P6" s="64" t="n">
        <x:v>46692</x:v>
      </x:c>
      <x:c r="Q6" s="64" t="n">
        <x:v>46722</x:v>
      </x:c>
      <x:c r="R6" s="42"/>
      <x:c r="S6" s="42"/>
      <x:c r="T6" s="42"/>
    </x:row>
    <x:row r="7" ht="22" customHeight="1">
      <x:c r="A7" s="42"/>
      <x:c r="B7" s="42"/>
      <x:c r="C7" s="42" t="str">
        <x:v>Canonical close version</x:v>
      </x:c>
      <x:c r="D7" s="42"/>
      <x:c r="E7" s="42"/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42"/>
      <x:c r="S7" s="42"/>
      <x:c r="T7" s="42"/>
    </x:row>
    <x:row r="8" ht="22" customHeight="1">
      <x:c r="A8" s="42"/>
      <x:c r="B8" s="42"/>
      <x:c r="C8" s="42" t="str">
        <x:v>Content hash</x:v>
      </x:c>
      <x:c r="D8" s="42"/>
      <x:c r="E8" s="42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42"/>
      <x:c r="S8" s="42"/>
      <x:c r="T8" s="42"/>
    </x:row>
    <x:row r="9" ht="22" customHeight="1">
      <x:c r="A9" s="42"/>
      <x:c r="B9" s="42"/>
      <x:c r="C9" s="42" t="str">
        <x:v>Publication / receipt ID</x:v>
      </x:c>
      <x:c r="D9" s="42"/>
      <x:c r="E9" s="42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42"/>
      <x:c r="S9" s="42"/>
      <x:c r="T9" s="42"/>
    </x:row>
    <x:row r="10" ht="22" customHeight="1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</x:row>
    <x:row r="11" ht="22" customHeight="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</x:row>
    <x:row r="12" ht="22" customHeight="1">
      <x:c r="A12" s="42"/>
      <x:c r="B12" s="42"/>
      <x:c r="C12" s="42" t="str">
        <x:v>Lodging revenue</x:v>
      </x:c>
      <x:c r="D12" s="42" t="str">
        <x:v>410100</x:v>
      </x:c>
      <x:c r="E12" s="42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42"/>
      <x:c r="S12" s="42"/>
      <x:c r="T12" s="42"/>
    </x:row>
    <x:row r="13" ht="22" customHeight="1">
      <x:c r="A13" s="42"/>
      <x:c r="B13" s="42"/>
      <x:c r="C13" s="42" t="str">
        <x:v>Cleaning fee income</x:v>
      </x:c>
      <x:c r="D13" s="42" t="str">
        <x:v>410200</x:v>
      </x:c>
      <x:c r="E13" s="42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42"/>
      <x:c r="S13" s="42"/>
      <x:c r="T13" s="42"/>
    </x:row>
    <x:row r="14" ht="22" customHeight="1">
      <x:c r="A14" s="42"/>
      <x:c r="B14" s="42"/>
      <x:c r="C14" s="42" t="str">
        <x:v>Other guest fee income</x:v>
      </x:c>
      <x:c r="D14" s="42" t="str">
        <x:v>410300</x:v>
      </x:c>
      <x:c r="E14" s="42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42"/>
      <x:c r="S14" s="42"/>
      <x:c r="T14" s="42"/>
    </x:row>
    <x:row r="15" ht="22" customHeight="1">
      <x:c r="A15" s="42"/>
      <x:c r="B15" s="42"/>
      <x:c r="C15" s="42" t="str">
        <x:v>Refunds and discounts</x:v>
      </x:c>
      <x:c r="D15" s="42" t="str">
        <x:v>419100</x:v>
      </x:c>
      <x:c r="E15" s="42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42"/>
      <x:c r="S15" s="42"/>
      <x:c r="T15" s="42"/>
    </x:row>
    <x:row r="16" ht="22" customHeight="1">
      <x:c r="A16" s="42"/>
      <x:c r="B16" s="42"/>
      <x:c r="C16" s="42" t="str">
        <x:v>Bad debt</x:v>
      </x:c>
      <x:c r="D16" s="42" t="str">
        <x:v>419200</x:v>
      </x:c>
      <x:c r="E16" s="42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42"/>
      <x:c r="S16" s="42"/>
      <x:c r="T16" s="42"/>
    </x:row>
    <x:row r="17" ht="22" customHeight="1">
      <x:c r="A17" s="42"/>
      <x:c r="B17" s="42"/>
      <x:c r="C17" s="42" t="str">
        <x:v>Channel commissions</x:v>
      </x:c>
      <x:c r="D17" s="42" t="str">
        <x:v>610100</x:v>
      </x:c>
      <x:c r="E17" s="42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42"/>
      <x:c r="S17" s="42"/>
      <x:c r="T17" s="42"/>
    </x:row>
    <x:row r="18" ht="22" customHeight="1">
      <x:c r="A18" s="42"/>
      <x:c r="B18" s="42"/>
      <x:c r="C18" s="42" t="str">
        <x:v>Cleaning expense</x:v>
      </x:c>
      <x:c r="D18" s="42" t="str">
        <x:v>610200</x:v>
      </x:c>
      <x:c r="E18" s="42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42"/>
      <x:c r="S18" s="42"/>
      <x:c r="T18" s="42"/>
    </x:row>
    <x:row r="19" ht="22" customHeight="1">
      <x:c r="A19" s="42"/>
      <x:c r="B19" s="42"/>
      <x:c r="C19" s="42" t="str">
        <x:v>Property-borne lodging tax</x:v>
      </x:c>
      <x:c r="D19" s="42" t="str">
        <x:v>610300</x:v>
      </x:c>
      <x:c r="E19" s="42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42"/>
      <x:c r="S19" s="42"/>
      <x:c r="T19" s="42"/>
    </x:row>
    <x:row r="20" ht="22" customHeight="1">
      <x:c r="A20" s="42"/>
      <x:c r="B20" s="42"/>
      <x:c r="C20" s="42" t="str">
        <x:v>Supplies</x:v>
      </x:c>
      <x:c r="D20" s="42" t="str">
        <x:v>610400</x:v>
      </x:c>
      <x:c r="E20" s="42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42"/>
      <x:c r="S20" s="42"/>
      <x:c r="T20" s="42"/>
    </x:row>
    <x:row r="21" ht="22" customHeight="1">
      <x:c r="A21" s="42"/>
      <x:c r="B21" s="42"/>
      <x:c r="C21" s="42" t="str">
        <x:v>Payroll</x:v>
      </x:c>
      <x:c r="D21" s="42" t="str">
        <x:v>620100</x:v>
      </x:c>
      <x:c r="E21" s="42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42"/>
      <x:c r="S21" s="42"/>
      <x:c r="T21" s="42"/>
    </x:row>
    <x:row r="22" ht="22" customHeight="1">
      <x:c r="A22" s="42"/>
      <x:c r="B22" s="42"/>
      <x:c r="C22" s="42" t="str">
        <x:v>Utilities</x:v>
      </x:c>
      <x:c r="D22" s="42" t="str">
        <x:v>630100</x:v>
      </x:c>
      <x:c r="E22" s="42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42"/>
      <x:c r="S22" s="42"/>
      <x:c r="T22" s="42"/>
    </x:row>
    <x:row r="23" ht="22" customHeight="1">
      <x:c r="A23" s="42"/>
      <x:c r="B23" s="42"/>
      <x:c r="C23" s="42" t="str">
        <x:v>Contracts</x:v>
      </x:c>
      <x:c r="D23" s="42" t="str">
        <x:v>640100</x:v>
      </x:c>
      <x:c r="E23" s="42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42"/>
      <x:c r="S23" s="42"/>
      <x:c r="T23" s="42"/>
    </x:row>
    <x:row r="24" ht="22" customHeight="1">
      <x:c r="A24" s="42"/>
      <x:c r="B24" s="42"/>
      <x:c r="C24" s="42" t="str">
        <x:v>Marketing</x:v>
      </x:c>
      <x:c r="D24" s="42" t="str">
        <x:v>650100</x:v>
      </x:c>
      <x:c r="E24" s="42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42"/>
      <x:c r="S24" s="42"/>
      <x:c r="T24" s="42"/>
    </x:row>
    <x:row r="25" ht="22" customHeight="1">
      <x:c r="A25" s="42"/>
      <x:c r="B25" s="42"/>
      <x:c r="C25" s="42" t="str">
        <x:v>Maintenance</x:v>
      </x:c>
      <x:c r="D25" s="42" t="str">
        <x:v>660100</x:v>
      </x:c>
      <x:c r="E25" s="42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42"/>
      <x:c r="S25" s="42"/>
      <x:c r="T25" s="42"/>
    </x:row>
    <x:row r="26" ht="22" customHeight="1">
      <x:c r="A26" s="42"/>
      <x:c r="B26" s="42"/>
      <x:c r="C26" s="42" t="str">
        <x:v>Insurance</x:v>
      </x:c>
      <x:c r="D26" s="42" t="str">
        <x:v>670100</x:v>
      </x:c>
      <x:c r="E26" s="42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42"/>
      <x:c r="S26" s="42"/>
      <x:c r="T26" s="42"/>
    </x:row>
    <x:row r="27" ht="22" customHeight="1">
      <x:c r="A27" s="42"/>
      <x:c r="B27" s="42"/>
      <x:c r="C27" s="42" t="str">
        <x:v>Property taxes</x:v>
      </x:c>
      <x:c r="D27" s="42" t="str">
        <x:v>680100</x:v>
      </x:c>
      <x:c r="E27" s="42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42"/>
      <x:c r="S27" s="42"/>
      <x:c r="T27" s="42"/>
    </x:row>
    <x:row r="28" ht="22" customHeight="1">
      <x:c r="A28" s="42"/>
      <x:c r="B28" s="42"/>
      <x:c r="C28" s="42" t="str">
        <x:v>Other operating expenses</x:v>
      </x:c>
      <x:c r="D28" s="42" t="str">
        <x:v>690100</x:v>
      </x:c>
      <x:c r="E28" s="42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42"/>
      <x:c r="S28" s="42"/>
      <x:c r="T28" s="42"/>
    </x:row>
    <x:row r="29" ht="22" customHeight="1">
      <x:c r="A29" s="42"/>
      <x:c r="B29" s="42"/>
      <x:c r="C29" s="42" t="str">
        <x:v>Other below-NOI cash costs</x:v>
      </x:c>
      <x:c r="D29" s="42" t="str">
        <x:v>710100</x:v>
      </x:c>
      <x:c r="E29" s="42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42"/>
      <x:c r="S29" s="42"/>
      <x:c r="T29" s="42"/>
    </x:row>
    <x:row r="30" ht="22" customHeight="1">
      <x:c r="A30" s="42"/>
      <x:c r="B30" s="42"/>
      <x:c r="C30" s="42" t="str">
        <x:v>Debt interest</x:v>
      </x:c>
      <x:c r="D30" s="42" t="str">
        <x:v>720100</x:v>
      </x:c>
      <x:c r="E30" s="42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42"/>
      <x:c r="S30" s="42"/>
      <x:c r="T30" s="42"/>
    </x:row>
    <x:row r="31" ht="22" customHeight="1">
      <x:c r="A31" s="42"/>
      <x:c r="B31" s="42"/>
      <x:c r="C31" s="42" t="str">
        <x:v>Debt principal</x:v>
      </x:c>
      <x:c r="D31" s="42" t="str">
        <x:v>720200</x:v>
      </x:c>
      <x:c r="E31" s="42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42"/>
      <x:c r="S31" s="42"/>
      <x:c r="T31" s="42"/>
    </x:row>
    <x:row r="32" ht="22" customHeight="1">
      <x:c r="A32" s="42"/>
      <x:c r="B32" s="42"/>
      <x:c r="C32" s="42" t="str">
        <x:v>Capital expenditure</x:v>
      </x:c>
      <x:c r="D32" s="42" t="str">
        <x:v>730100</x:v>
      </x:c>
      <x:c r="E32" s="42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42"/>
      <x:c r="S32" s="42"/>
      <x:c r="T32" s="42"/>
    </x:row>
    <x:row r="33" ht="22" customHeight="1">
      <x:c r="A33" s="42"/>
      <x:c r="B33" s="42"/>
      <x:c r="C33" s="42" t="str">
        <x:v>Working-capital cash use</x:v>
      </x:c>
      <x:c r="D33" s="42" t="str">
        <x:v>740100</x:v>
      </x:c>
      <x:c r="E33" s="42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42"/>
      <x:c r="S33" s="42"/>
      <x:c r="T33" s="42"/>
    </x:row>
    <x:row r="34" ht="22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</x:row>
    <x:row r="35" ht="22" customHeight="1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</x:row>
    <x:row r="36" ht="22" customHeight="1">
      <x:c r="A36" s="42"/>
      <x:c r="B36" s="42"/>
      <x:c r="C36" s="42" t="str">
        <x:v>Source file or ATLAS export reference</x:v>
      </x:c>
      <x:c r="D36" s="42"/>
      <x:c r="E36" s="42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42"/>
      <x:c r="S36" s="42"/>
      <x:c r="T36" s="42"/>
    </x:row>
    <x:row r="37" ht="22" customHeight="1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</x:row>
    <x:row r="38" ht="22" customHeight="1">
      <x:c r="A38" s="42"/>
      <x:c r="B38" s="42"/>
      <x:c r="C38" s="42" t="str">
        <x:v>Every leaf needs a value. A blank remains missing; a valid zero is entered as 0.</x:v>
      </x:c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</x:row>
    <x:row r="39" ht="22" customHeight="1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</x:row>
    <x:row r="40" ht="22" customHeight="1">
      <x:c r="A40" s="42"/>
      <x:c r="B40" s="42"/>
      <x:c r="C40" s="42" t="str">
        <x:v>GL rows use provisional mapping until the authorized registry has been confirmed.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</x:row>
    <x:row r="41" ht="22" customHeight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</x:row>
    <x:row r="42" ht="22" customHeight="1">
      <x:c r="A42" s="42"/>
      <x:c r="B42" s="42"/>
      <x:c r="C42" s="42" t="str">
        <x:v>Source dates are independent. Replace date headers only with the matching dated ATLAS export.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</x:row>
    <x:row r="43" ht="22" customHeight="1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</x:row>
    <x:row r="44" ht="22" customHeight="1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</x:row>
    <x:row r="45" ht="22" customHeight="1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</x:row>
    <x:row r="46" ht="22" customHeight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</x:row>
    <x:row r="47" ht="22" customHeight="1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</x:row>
    <x:row r="48" ht="22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</x:row>
    <x:row r="49" ht="22" customHeight="1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</x:row>
    <x:row r="50" ht="22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</x:row>
    <x:row r="51" ht="22" customHeight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</x:row>
    <x:row r="52" ht="22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</x:row>
    <x:row r="53" ht="22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</x:row>
    <x:row r="54" ht="22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</x:row>
    <x:row r="55" ht="22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</x:row>
    <x:row r="56" ht="22" customHeight="1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</x:row>
    <x:row r="57" ht="22" customHeight="1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</x:row>
    <x:row r="58" ht="22" customHeight="1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</x:row>
    <x:row r="59" ht="22" customHeight="1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</x:row>
    <x:row r="60" ht="22" customHeight="1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</x:row>
    <x:row r="61" ht="22" customHeight="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</x:row>
    <x:row r="62" ht="22" customHeight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</x:row>
    <x:row r="63" ht="22" customHeight="1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</x:row>
    <x:row r="64" ht="22" customHeight="1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</x:row>
    <x:row r="65" ht="22" customHeight="1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</x:row>
    <x:row r="66" ht="22" customHeight="1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</x:row>
    <x:row r="67" ht="22" customHeight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</x:row>
    <x:row r="68" ht="22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</x:row>
    <x:row r="69" ht="22" customHeight="1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</x:row>
    <x:row r="70" ht="22" customHeight="1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</x:row>
    <x:row r="71" ht="22" customHeight="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</x:row>
    <x:row r="72" ht="22" customHeight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</x:row>
    <x:row r="73" ht="22" customHeight="1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</x:row>
    <x:row r="74" ht="22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</x:row>
    <x:row r="75" ht="22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</x:row>
    <x:row r="76" ht="22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</x:row>
    <x:row r="77" ht="22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</x:row>
    <x:row r="78" ht="2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</x:row>
    <x:row r="79" ht="2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</x:row>
    <x:row r="80" ht="2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</x:row>
    <x:row r="81" ht="2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</x:row>
    <x:row r="82" ht="22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</x:row>
    <x:row r="83" ht="22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</x:row>
    <x:row r="84" ht="22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</x:row>
    <x:row r="85" ht="22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</x:row>
    <x:row r="86" ht="22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</x:row>
    <x:row r="87" ht="22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</x:row>
    <x:row r="88" ht="22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</x:row>
    <x:row r="89" ht="22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</x:row>
    <x:row r="90" ht="22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24" hidden="0" customWidth="1"/>
    <x:col min="4" max="4" width="3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" hidden="0" customWidth="1"/>
    <x:col min="19" max="19" width="58" hidden="0" customWidth="1"/>
  </x:cols>
  <x:sheetData>
    <x:row r="1" ht="22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22" customHeight="1">
      <x:c r="A2" s="42"/>
      <x:c r="B2" s="42"/>
      <x:c r="C2" s="43" t="str">
        <x:v>GL Mapping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2"/>
      <x:c r="S2" s="42"/>
      <x:c r="T2" s="42"/>
    </x:row>
    <x:row r="3" ht="22" customHeight="1">
      <x:c r="A3" s="42"/>
      <x:c r="B3" s="42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2"/>
      <x:c r="S3" s="42"/>
      <x:c r="T3" s="42"/>
    </x:row>
    <x:row r="4" ht="22" customHeight="1">
      <x:c r="A4" s="42"/>
      <x:c r="B4" s="42"/>
      <x:c r="C4" s="42" t="str">
        <x:v>Provisional identifiers only. An authorized user must map these accounts in ATLAS.</x:v>
      </x:c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</x:row>
    <x:row r="5" ht="22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</x:row>
    <x:row r="6" ht="35" customHeight="1">
      <x:c r="A6" s="42"/>
      <x:c r="B6" s="42"/>
      <x:c r="C6" s="72" t="str">
        <x:v>Provisional GL</x:v>
      </x:c>
      <x:c r="D6" s="72" t="str">
        <x:v>Account</x:v>
      </x:c>
      <x:c r="E6" s="72" t="str">
        <x:v>Nature</x:v>
      </x:c>
      <x:c r="F6" s="72" t="str">
        <x:v>Statement placement</x:v>
      </x:c>
      <x:c r="G6" s="72" t="str">
        <x:v>Sign multiplier</x:v>
      </x:c>
      <x:c r="H6" s="72" t="str">
        <x:v>Category</x:v>
      </x:c>
      <x:c r="I6" s="72" t="str">
        <x:v>Canonical ATLAS GL</x:v>
      </x:c>
      <x:c r="J6" s="72" t="str">
        <x:v>Source row</x:v>
      </x:c>
      <x:c r="K6" s="72" t="str">
        <x:v>Cell role</x:v>
      </x:c>
      <x:c r="L6" s="72" t="str">
        <x:v>Status</x:v>
      </x:c>
      <x:c r="M6" s="42"/>
      <x:c r="N6" s="42"/>
      <x:c r="O6" s="42"/>
      <x:c r="P6" s="42"/>
      <x:c r="Q6" s="42"/>
      <x:c r="R6" s="42"/>
      <x:c r="S6" s="42"/>
      <x:c r="T6" s="42"/>
    </x:row>
    <x:row r="7" ht="22" customHeight="1">
      <x:c r="A7" s="42"/>
      <x:c r="B7" s="42"/>
      <x:c r="C7" s="42" t="str">
        <x:v>410100</x:v>
      </x:c>
      <x:c r="D7" s="42" t="str">
        <x:v>Lodging revenue</x:v>
      </x:c>
      <x:c r="E7" s="42" t="str">
        <x:v>income</x:v>
      </x:c>
      <x:c r="F7" s="42" t="str">
        <x:v>above_noi</x:v>
      </x:c>
      <x:c r="G7" s="42" t="n">
        <x:v>1</x:v>
      </x:c>
      <x:c r="H7" s="42" t="str">
        <x:v>Lodging</x:v>
      </x:c>
      <x:c r="I7" s="65"/>
      <x:c r="J7" s="42" t="str">
        <x:v>STR Build!28</x:v>
      </x:c>
      <x:c r="K7" s="42" t="str">
        <x:v>Mapping evidence</x:v>
      </x:c>
      <x:c r="L7" s="55" t="str">
        <x:v>Unmapped</x:v>
      </x:c>
      <x:c r="M7" s="42"/>
      <x:c r="N7" s="42"/>
      <x:c r="O7" s="42"/>
      <x:c r="P7" s="42"/>
      <x:c r="Q7" s="42"/>
      <x:c r="R7" s="42"/>
      <x:c r="S7" s="42"/>
      <x:c r="T7" s="42"/>
    </x:row>
    <x:row r="8" ht="22" customHeight="1">
      <x:c r="A8" s="42"/>
      <x:c r="B8" s="42"/>
      <x:c r="C8" s="42" t="str">
        <x:v>410200</x:v>
      </x:c>
      <x:c r="D8" s="42" t="str">
        <x:v>Cleaning fee income</x:v>
      </x:c>
      <x:c r="E8" s="42" t="str">
        <x:v>income</x:v>
      </x:c>
      <x:c r="F8" s="42" t="str">
        <x:v>above_noi</x:v>
      </x:c>
      <x:c r="G8" s="42" t="n">
        <x:v>1</x:v>
      </x:c>
      <x:c r="H8" s="42" t="str">
        <x:v>Fees</x:v>
      </x:c>
      <x:c r="I8" s="65"/>
      <x:c r="J8" s="42" t="str">
        <x:v>STR Build!29</x:v>
      </x:c>
      <x:c r="K8" s="42" t="str">
        <x:v>Mapping evidence</x:v>
      </x:c>
      <x:c r="L8" s="55" t="str">
        <x:v>Unmapped</x:v>
      </x:c>
      <x:c r="M8" s="42"/>
      <x:c r="N8" s="42"/>
      <x:c r="O8" s="42"/>
      <x:c r="P8" s="42"/>
      <x:c r="Q8" s="42"/>
      <x:c r="R8" s="42"/>
      <x:c r="S8" s="42"/>
      <x:c r="T8" s="42"/>
    </x:row>
    <x:row r="9" ht="22" customHeight="1">
      <x:c r="A9" s="42"/>
      <x:c r="B9" s="42"/>
      <x:c r="C9" s="42" t="str">
        <x:v>410300</x:v>
      </x:c>
      <x:c r="D9" s="42" t="str">
        <x:v>Other guest fee income</x:v>
      </x:c>
      <x:c r="E9" s="42" t="str">
        <x:v>income</x:v>
      </x:c>
      <x:c r="F9" s="42" t="str">
        <x:v>above_noi</x:v>
      </x:c>
      <x:c r="G9" s="42" t="n">
        <x:v>1</x:v>
      </x:c>
      <x:c r="H9" s="42" t="str">
        <x:v>Fees</x:v>
      </x:c>
      <x:c r="I9" s="65"/>
      <x:c r="J9" s="42" t="str">
        <x:v>STR Build!30</x:v>
      </x:c>
      <x:c r="K9" s="42" t="str">
        <x:v>Mapping evidence</x:v>
      </x:c>
      <x:c r="L9" s="55" t="str">
        <x:v>Unmapped</x:v>
      </x:c>
      <x:c r="M9" s="42"/>
      <x:c r="N9" s="42"/>
      <x:c r="O9" s="42"/>
      <x:c r="P9" s="42"/>
      <x:c r="Q9" s="42"/>
      <x:c r="R9" s="42"/>
      <x:c r="S9" s="42"/>
      <x:c r="T9" s="42"/>
    </x:row>
    <x:row r="10" ht="22" customHeight="1">
      <x:c r="A10" s="42"/>
      <x:c r="B10" s="42"/>
      <x:c r="C10" s="42" t="str">
        <x:v>419100</x:v>
      </x:c>
      <x:c r="D10" s="42" t="str">
        <x:v>Refunds and discounts</x:v>
      </x:c>
      <x:c r="E10" s="42" t="str">
        <x:v>contra_income</x:v>
      </x:c>
      <x:c r="F10" s="42" t="str">
        <x:v>above_noi</x:v>
      </x:c>
      <x:c r="G10" s="42" t="n">
        <x:v>1</x:v>
      </x:c>
      <x:c r="H10" s="42" t="str">
        <x:v>Contra revenue</x:v>
      </x:c>
      <x:c r="I10" s="65"/>
      <x:c r="J10" s="42" t="str">
        <x:v>STR Build!32</x:v>
      </x:c>
      <x:c r="K10" s="42" t="str">
        <x:v>Mapping evidence</x:v>
      </x:c>
      <x:c r="L10" s="55" t="str">
        <x:v>Unmapped</x:v>
      </x:c>
      <x:c r="M10" s="42"/>
      <x:c r="N10" s="42"/>
      <x:c r="O10" s="42"/>
      <x:c r="P10" s="42"/>
      <x:c r="Q10" s="42"/>
      <x:c r="R10" s="42"/>
      <x:c r="S10" s="42"/>
      <x:c r="T10" s="42"/>
    </x:row>
    <x:row r="11" ht="22" customHeight="1">
      <x:c r="A11" s="42"/>
      <x:c r="B11" s="42"/>
      <x:c r="C11" s="42" t="str">
        <x:v>419200</x:v>
      </x:c>
      <x:c r="D11" s="42" t="str">
        <x:v>Bad debt</x:v>
      </x:c>
      <x:c r="E11" s="42" t="str">
        <x:v>contra_income</x:v>
      </x:c>
      <x:c r="F11" s="42" t="str">
        <x:v>above_noi</x:v>
      </x:c>
      <x:c r="G11" s="42" t="n">
        <x:v>1</x:v>
      </x:c>
      <x:c r="H11" s="42" t="str">
        <x:v>Contra revenue</x:v>
      </x:c>
      <x:c r="I11" s="65"/>
      <x:c r="J11" s="42" t="str">
        <x:v>STR Build!33</x:v>
      </x:c>
      <x:c r="K11" s="42" t="str">
        <x:v>Mapping evidence</x:v>
      </x:c>
      <x:c r="L11" s="55" t="str">
        <x:v>Unmapped</x:v>
      </x:c>
      <x:c r="M11" s="42"/>
      <x:c r="N11" s="42"/>
      <x:c r="O11" s="42"/>
      <x:c r="P11" s="42"/>
      <x:c r="Q11" s="42"/>
      <x:c r="R11" s="42"/>
      <x:c r="S11" s="42"/>
      <x:c r="T11" s="42"/>
    </x:row>
    <x:row r="12" ht="22" customHeight="1">
      <x:c r="A12" s="42"/>
      <x:c r="B12" s="42"/>
      <x:c r="C12" s="42" t="str">
        <x:v>610100</x:v>
      </x:c>
      <x:c r="D12" s="42" t="str">
        <x:v>Channel commissions</x:v>
      </x:c>
      <x:c r="E12" s="42" t="str">
        <x:v>expense</x:v>
      </x:c>
      <x:c r="F12" s="42" t="str">
        <x:v>above_noi</x:v>
      </x:c>
      <x:c r="G12" s="42" t="n">
        <x:v>1</x:v>
      </x:c>
      <x:c r="H12" s="42" t="str">
        <x:v>Marketing</x:v>
      </x:c>
      <x:c r="I12" s="65"/>
      <x:c r="J12" s="42" t="str">
        <x:v>STR Build!36</x:v>
      </x:c>
      <x:c r="K12" s="42" t="str">
        <x:v>Mapping evidence</x:v>
      </x:c>
      <x:c r="L12" s="55" t="str">
        <x:v>Unmapped</x:v>
      </x:c>
      <x:c r="M12" s="42"/>
      <x:c r="N12" s="42"/>
      <x:c r="O12" s="42"/>
      <x:c r="P12" s="42"/>
      <x:c r="Q12" s="42"/>
      <x:c r="R12" s="42"/>
      <x:c r="S12" s="42"/>
      <x:c r="T12" s="42"/>
    </x:row>
    <x:row r="13" ht="22" customHeight="1">
      <x:c r="A13" s="42"/>
      <x:c r="B13" s="42"/>
      <x:c r="C13" s="42" t="str">
        <x:v>610200</x:v>
      </x:c>
      <x:c r="D13" s="42" t="str">
        <x:v>Cleaning expense</x:v>
      </x:c>
      <x:c r="E13" s="42" t="str">
        <x:v>expense</x:v>
      </x:c>
      <x:c r="F13" s="42" t="str">
        <x:v>above_noi</x:v>
      </x:c>
      <x:c r="G13" s="42" t="n">
        <x:v>1</x:v>
      </x:c>
      <x:c r="H13" s="42" t="str">
        <x:v>Turnover</x:v>
      </x:c>
      <x:c r="I13" s="65"/>
      <x:c r="J13" s="42" t="str">
        <x:v>STR Build!37</x:v>
      </x:c>
      <x:c r="K13" s="42" t="str">
        <x:v>Mapping evidence</x:v>
      </x:c>
      <x:c r="L13" s="55" t="str">
        <x:v>Unmapped</x:v>
      </x:c>
      <x:c r="M13" s="42"/>
      <x:c r="N13" s="42"/>
      <x:c r="O13" s="42"/>
      <x:c r="P13" s="42"/>
      <x:c r="Q13" s="42"/>
      <x:c r="R13" s="42"/>
      <x:c r="S13" s="42"/>
      <x:c r="T13" s="42"/>
    </x:row>
    <x:row r="14" ht="22" customHeight="1">
      <x:c r="A14" s="42"/>
      <x:c r="B14" s="42"/>
      <x:c r="C14" s="42" t="str">
        <x:v>610300</x:v>
      </x:c>
      <x:c r="D14" s="42" t="str">
        <x:v>Property-borne lodging tax</x:v>
      </x:c>
      <x:c r="E14" s="42" t="str">
        <x:v>expense</x:v>
      </x:c>
      <x:c r="F14" s="42" t="str">
        <x:v>above_noi</x:v>
      </x:c>
      <x:c r="G14" s="42" t="n">
        <x:v>1</x:v>
      </x:c>
      <x:c r="H14" s="42" t="str">
        <x:v>Taxes</x:v>
      </x:c>
      <x:c r="I14" s="65"/>
      <x:c r="J14" s="42" t="str">
        <x:v>STR Build!38</x:v>
      </x:c>
      <x:c r="K14" s="42" t="str">
        <x:v>Mapping evidence</x:v>
      </x:c>
      <x:c r="L14" s="55" t="str">
        <x:v>Unmapped</x:v>
      </x:c>
      <x:c r="M14" s="42"/>
      <x:c r="N14" s="42"/>
      <x:c r="O14" s="42"/>
      <x:c r="P14" s="42"/>
      <x:c r="Q14" s="42"/>
      <x:c r="R14" s="42"/>
      <x:c r="S14" s="42"/>
      <x:c r="T14" s="42"/>
    </x:row>
    <x:row r="15" ht="22" customHeight="1">
      <x:c r="A15" s="42"/>
      <x:c r="B15" s="42"/>
      <x:c r="C15" s="42" t="str">
        <x:v>610400</x:v>
      </x:c>
      <x:c r="D15" s="42" t="str">
        <x:v>Supplies</x:v>
      </x:c>
      <x:c r="E15" s="42" t="str">
        <x:v>expense</x:v>
      </x:c>
      <x:c r="F15" s="42" t="str">
        <x:v>above_noi</x:v>
      </x:c>
      <x:c r="G15" s="42" t="n">
        <x:v>1</x:v>
      </x:c>
      <x:c r="H15" s="42" t="str">
        <x:v>Supplies</x:v>
      </x:c>
      <x:c r="I15" s="65"/>
      <x:c r="J15" s="42" t="str">
        <x:v>STR Build!39</x:v>
      </x:c>
      <x:c r="K15" s="42" t="str">
        <x:v>Mapping evidence</x:v>
      </x:c>
      <x:c r="L15" s="55" t="str">
        <x:v>Unmapped</x:v>
      </x:c>
      <x:c r="M15" s="42"/>
      <x:c r="N15" s="42"/>
      <x:c r="O15" s="42"/>
      <x:c r="P15" s="42"/>
      <x:c r="Q15" s="42"/>
      <x:c r="R15" s="42"/>
      <x:c r="S15" s="42"/>
      <x:c r="T15" s="42"/>
    </x:row>
    <x:row r="16" ht="22" customHeight="1">
      <x:c r="A16" s="42"/>
      <x:c r="B16" s="42"/>
      <x:c r="C16" s="42" t="str">
        <x:v>620100</x:v>
      </x:c>
      <x:c r="D16" s="42" t="str">
        <x:v>Payroll</x:v>
      </x:c>
      <x:c r="E16" s="42" t="str">
        <x:v>expense</x:v>
      </x:c>
      <x:c r="F16" s="42" t="str">
        <x:v>above_noi</x:v>
      </x:c>
      <x:c r="G16" s="42" t="n">
        <x:v>1</x:v>
      </x:c>
      <x:c r="H16" s="42" t="str">
        <x:v>Payroll</x:v>
      </x:c>
      <x:c r="I16" s="65"/>
      <x:c r="J16" s="42" t="str">
        <x:v>STR Build!40</x:v>
      </x:c>
      <x:c r="K16" s="42" t="str">
        <x:v>Mapping evidence</x:v>
      </x:c>
      <x:c r="L16" s="55" t="str">
        <x:v>Unmapped</x:v>
      </x:c>
      <x:c r="M16" s="42"/>
      <x:c r="N16" s="42"/>
      <x:c r="O16" s="42"/>
      <x:c r="P16" s="42"/>
      <x:c r="Q16" s="42"/>
      <x:c r="R16" s="42"/>
      <x:c r="S16" s="42"/>
      <x:c r="T16" s="42"/>
    </x:row>
    <x:row r="17" ht="22" customHeight="1">
      <x:c r="A17" s="42"/>
      <x:c r="B17" s="42"/>
      <x:c r="C17" s="42" t="str">
        <x:v>630100</x:v>
      </x:c>
      <x:c r="D17" s="42" t="str">
        <x:v>Utilities</x:v>
      </x:c>
      <x:c r="E17" s="42" t="str">
        <x:v>expense</x:v>
      </x:c>
      <x:c r="F17" s="42" t="str">
        <x:v>above_noi</x:v>
      </x:c>
      <x:c r="G17" s="42" t="n">
        <x:v>1</x:v>
      </x:c>
      <x:c r="H17" s="42" t="str">
        <x:v>Utilities</x:v>
      </x:c>
      <x:c r="I17" s="65"/>
      <x:c r="J17" s="42" t="str">
        <x:v>STR Build!41</x:v>
      </x:c>
      <x:c r="K17" s="42" t="str">
        <x:v>Mapping evidence</x:v>
      </x:c>
      <x:c r="L17" s="55" t="str">
        <x:v>Unmapped</x:v>
      </x:c>
      <x:c r="M17" s="42"/>
      <x:c r="N17" s="42"/>
      <x:c r="O17" s="42"/>
      <x:c r="P17" s="42"/>
      <x:c r="Q17" s="42"/>
      <x:c r="R17" s="42"/>
      <x:c r="S17" s="42"/>
      <x:c r="T17" s="42"/>
    </x:row>
    <x:row r="18" ht="22" customHeight="1">
      <x:c r="A18" s="42"/>
      <x:c r="B18" s="42"/>
      <x:c r="C18" s="42" t="str">
        <x:v>640100</x:v>
      </x:c>
      <x:c r="D18" s="42" t="str">
        <x:v>Contracts</x:v>
      </x:c>
      <x:c r="E18" s="42" t="str">
        <x:v>expense</x:v>
      </x:c>
      <x:c r="F18" s="42" t="str">
        <x:v>above_noi</x:v>
      </x:c>
      <x:c r="G18" s="42" t="n">
        <x:v>1</x:v>
      </x:c>
      <x:c r="H18" s="42" t="str">
        <x:v>Contracts</x:v>
      </x:c>
      <x:c r="I18" s="65"/>
      <x:c r="J18" s="42" t="str">
        <x:v>STR Build!42</x:v>
      </x:c>
      <x:c r="K18" s="42" t="str">
        <x:v>Mapping evidence</x:v>
      </x:c>
      <x:c r="L18" s="55" t="str">
        <x:v>Unmapped</x:v>
      </x:c>
      <x:c r="M18" s="42"/>
      <x:c r="N18" s="42"/>
      <x:c r="O18" s="42"/>
      <x:c r="P18" s="42"/>
      <x:c r="Q18" s="42"/>
      <x:c r="R18" s="42"/>
      <x:c r="S18" s="42"/>
      <x:c r="T18" s="42"/>
    </x:row>
    <x:row r="19" ht="22" customHeight="1">
      <x:c r="A19" s="42"/>
      <x:c r="B19" s="42"/>
      <x:c r="C19" s="42" t="str">
        <x:v>650100</x:v>
      </x:c>
      <x:c r="D19" s="42" t="str">
        <x:v>Marketing</x:v>
      </x:c>
      <x:c r="E19" s="42" t="str">
        <x:v>expense</x:v>
      </x:c>
      <x:c r="F19" s="42" t="str">
        <x:v>above_noi</x:v>
      </x:c>
      <x:c r="G19" s="42" t="n">
        <x:v>1</x:v>
      </x:c>
      <x:c r="H19" s="42" t="str">
        <x:v>Marketing</x:v>
      </x:c>
      <x:c r="I19" s="65"/>
      <x:c r="J19" s="42" t="str">
        <x:v>STR Build!43</x:v>
      </x:c>
      <x:c r="K19" s="42" t="str">
        <x:v>Mapping evidence</x:v>
      </x:c>
      <x:c r="L19" s="55" t="str">
        <x:v>Unmapped</x:v>
      </x:c>
      <x:c r="M19" s="42"/>
      <x:c r="N19" s="42"/>
      <x:c r="O19" s="42"/>
      <x:c r="P19" s="42"/>
      <x:c r="Q19" s="42"/>
      <x:c r="R19" s="42"/>
      <x:c r="S19" s="42"/>
      <x:c r="T19" s="42"/>
    </x:row>
    <x:row r="20" ht="22" customHeight="1">
      <x:c r="A20" s="42"/>
      <x:c r="B20" s="42"/>
      <x:c r="C20" s="42" t="str">
        <x:v>660100</x:v>
      </x:c>
      <x:c r="D20" s="42" t="str">
        <x:v>Maintenance</x:v>
      </x:c>
      <x:c r="E20" s="42" t="str">
        <x:v>expense</x:v>
      </x:c>
      <x:c r="F20" s="42" t="str">
        <x:v>above_noi</x:v>
      </x:c>
      <x:c r="G20" s="42" t="n">
        <x:v>1</x:v>
      </x:c>
      <x:c r="H20" s="42" t="str">
        <x:v>Maintenance</x:v>
      </x:c>
      <x:c r="I20" s="65"/>
      <x:c r="J20" s="42" t="str">
        <x:v>STR Build!44</x:v>
      </x:c>
      <x:c r="K20" s="42" t="str">
        <x:v>Mapping evidence</x:v>
      </x:c>
      <x:c r="L20" s="55" t="str">
        <x:v>Unmapped</x:v>
      </x:c>
      <x:c r="M20" s="42"/>
      <x:c r="N20" s="42"/>
      <x:c r="O20" s="42"/>
      <x:c r="P20" s="42"/>
      <x:c r="Q20" s="42"/>
      <x:c r="R20" s="42"/>
      <x:c r="S20" s="42"/>
      <x:c r="T20" s="42"/>
    </x:row>
    <x:row r="21" ht="22" customHeight="1">
      <x:c r="A21" s="42"/>
      <x:c r="B21" s="42"/>
      <x:c r="C21" s="42" t="str">
        <x:v>670100</x:v>
      </x:c>
      <x:c r="D21" s="42" t="str">
        <x:v>Insurance</x:v>
      </x:c>
      <x:c r="E21" s="42" t="str">
        <x:v>expense</x:v>
      </x:c>
      <x:c r="F21" s="42" t="str">
        <x:v>above_noi</x:v>
      </x:c>
      <x:c r="G21" s="42" t="n">
        <x:v>1</x:v>
      </x:c>
      <x:c r="H21" s="42" t="str">
        <x:v>Insurance</x:v>
      </x:c>
      <x:c r="I21" s="65"/>
      <x:c r="J21" s="42" t="str">
        <x:v>STR Build!45</x:v>
      </x:c>
      <x:c r="K21" s="42" t="str">
        <x:v>Mapping evidence</x:v>
      </x:c>
      <x:c r="L21" s="55" t="str">
        <x:v>Unmapped</x:v>
      </x:c>
      <x:c r="M21" s="42"/>
      <x:c r="N21" s="42"/>
      <x:c r="O21" s="42"/>
      <x:c r="P21" s="42"/>
      <x:c r="Q21" s="42"/>
      <x:c r="R21" s="42"/>
      <x:c r="S21" s="42"/>
      <x:c r="T21" s="42"/>
    </x:row>
    <x:row r="22" ht="22" customHeight="1">
      <x:c r="A22" s="42"/>
      <x:c r="B22" s="42"/>
      <x:c r="C22" s="42" t="str">
        <x:v>680100</x:v>
      </x:c>
      <x:c r="D22" s="42" t="str">
        <x:v>Property taxes</x:v>
      </x:c>
      <x:c r="E22" s="42" t="str">
        <x:v>expense</x:v>
      </x:c>
      <x:c r="F22" s="42" t="str">
        <x:v>above_noi</x:v>
      </x:c>
      <x:c r="G22" s="42" t="n">
        <x:v>1</x:v>
      </x:c>
      <x:c r="H22" s="42" t="str">
        <x:v>Taxes</x:v>
      </x:c>
      <x:c r="I22" s="65"/>
      <x:c r="J22" s="42" t="str">
        <x:v>STR Build!46</x:v>
      </x:c>
      <x:c r="K22" s="42" t="str">
        <x:v>Mapping evidence</x:v>
      </x:c>
      <x:c r="L22" s="55" t="str">
        <x:v>Unmapped</x:v>
      </x:c>
      <x:c r="M22" s="42"/>
      <x:c r="N22" s="42"/>
      <x:c r="O22" s="42"/>
      <x:c r="P22" s="42"/>
      <x:c r="Q22" s="42"/>
      <x:c r="R22" s="42"/>
      <x:c r="S22" s="42"/>
      <x:c r="T22" s="42"/>
    </x:row>
    <x:row r="23" ht="22" customHeight="1">
      <x:c r="A23" s="42"/>
      <x:c r="B23" s="42"/>
      <x:c r="C23" s="42" t="str">
        <x:v>690100</x:v>
      </x:c>
      <x:c r="D23" s="42" t="str">
        <x:v>Other operating expenses</x:v>
      </x:c>
      <x:c r="E23" s="42" t="str">
        <x:v>expense</x:v>
      </x:c>
      <x:c r="F23" s="42" t="str">
        <x:v>above_noi</x:v>
      </x:c>
      <x:c r="G23" s="42" t="n">
        <x:v>1</x:v>
      </x:c>
      <x:c r="H23" s="42" t="str">
        <x:v>Other OPEX</x:v>
      </x:c>
      <x:c r="I23" s="65"/>
      <x:c r="J23" s="42" t="str">
        <x:v>STR Build!47</x:v>
      </x:c>
      <x:c r="K23" s="42" t="str">
        <x:v>Mapping evidence</x:v>
      </x:c>
      <x:c r="L23" s="55" t="str">
        <x:v>Unmapped</x:v>
      </x:c>
      <x:c r="M23" s="42"/>
      <x:c r="N23" s="42"/>
      <x:c r="O23" s="42"/>
      <x:c r="P23" s="42"/>
      <x:c r="Q23" s="42"/>
      <x:c r="R23" s="42"/>
      <x:c r="S23" s="42"/>
      <x:c r="T23" s="42"/>
    </x:row>
    <x:row r="24" ht="22" customHeight="1">
      <x:c r="A24" s="42"/>
      <x:c r="B24" s="42"/>
      <x:c r="C24" s="42" t="str">
        <x:v>710100</x:v>
      </x:c>
      <x:c r="D24" s="42" t="str">
        <x:v>Other below-NOI cash costs</x:v>
      </x:c>
      <x:c r="E24" s="42" t="str">
        <x:v>below_noi</x:v>
      </x:c>
      <x:c r="F24" s="42" t="str">
        <x:v>below_noi</x:v>
      </x:c>
      <x:c r="G24" s="42" t="n">
        <x:v>1</x:v>
      </x:c>
      <x:c r="H24" s="42" t="str">
        <x:v>Other below NOI</x:v>
      </x:c>
      <x:c r="I24" s="65"/>
      <x:c r="J24" s="42" t="str">
        <x:v>STR Build!55</x:v>
      </x:c>
      <x:c r="K24" s="42" t="str">
        <x:v>Mapping evidence</x:v>
      </x:c>
      <x:c r="L24" s="55" t="str">
        <x:v>Unmapped</x:v>
      </x:c>
      <x:c r="M24" s="42"/>
      <x:c r="N24" s="42"/>
      <x:c r="O24" s="42"/>
      <x:c r="P24" s="42"/>
      <x:c r="Q24" s="42"/>
      <x:c r="R24" s="42"/>
      <x:c r="S24" s="42"/>
      <x:c r="T24" s="42"/>
    </x:row>
    <x:row r="25" ht="22" customHeight="1">
      <x:c r="A25" s="42"/>
      <x:c r="B25" s="42"/>
      <x:c r="C25" s="42" t="str">
        <x:v>720100</x:v>
      </x:c>
      <x:c r="D25" s="42" t="str">
        <x:v>Debt interest</x:v>
      </x:c>
      <x:c r="E25" s="42" t="str">
        <x:v>debt</x:v>
      </x:c>
      <x:c r="F25" s="42" t="str">
        <x:v>below_noi</x:v>
      </x:c>
      <x:c r="G25" s="42" t="n">
        <x:v>1</x:v>
      </x:c>
      <x:c r="H25" s="42" t="str">
        <x:v>Debt</x:v>
      </x:c>
      <x:c r="I25" s="65"/>
      <x:c r="J25" s="42" t="str">
        <x:v>STR Build!56</x:v>
      </x:c>
      <x:c r="K25" s="42" t="str">
        <x:v>Mapping evidence</x:v>
      </x:c>
      <x:c r="L25" s="55" t="str">
        <x:v>Unmapped</x:v>
      </x:c>
      <x:c r="M25" s="42"/>
      <x:c r="N25" s="42"/>
      <x:c r="O25" s="42"/>
      <x:c r="P25" s="42"/>
      <x:c r="Q25" s="42"/>
      <x:c r="R25" s="42"/>
      <x:c r="S25" s="42"/>
      <x:c r="T25" s="42"/>
    </x:row>
    <x:row r="26" ht="22" customHeight="1">
      <x:c r="A26" s="42"/>
      <x:c r="B26" s="42"/>
      <x:c r="C26" s="42" t="str">
        <x:v>720200</x:v>
      </x:c>
      <x:c r="D26" s="42" t="str">
        <x:v>Debt principal</x:v>
      </x:c>
      <x:c r="E26" s="42" t="str">
        <x:v>debt</x:v>
      </x:c>
      <x:c r="F26" s="42" t="str">
        <x:v>below_noi</x:v>
      </x:c>
      <x:c r="G26" s="42" t="n">
        <x:v>1</x:v>
      </x:c>
      <x:c r="H26" s="42" t="str">
        <x:v>Debt</x:v>
      </x:c>
      <x:c r="I26" s="65"/>
      <x:c r="J26" s="42" t="str">
        <x:v>STR Build!57</x:v>
      </x:c>
      <x:c r="K26" s="42" t="str">
        <x:v>Mapping evidence</x:v>
      </x:c>
      <x:c r="L26" s="55" t="str">
        <x:v>Unmapped</x:v>
      </x:c>
      <x:c r="M26" s="42"/>
      <x:c r="N26" s="42"/>
      <x:c r="O26" s="42"/>
      <x:c r="P26" s="42"/>
      <x:c r="Q26" s="42"/>
      <x:c r="R26" s="42"/>
      <x:c r="S26" s="42"/>
      <x:c r="T26" s="42"/>
    </x:row>
    <x:row r="27" ht="22" customHeight="1">
      <x:c r="A27" s="42"/>
      <x:c r="B27" s="42"/>
      <x:c r="C27" s="42" t="str">
        <x:v>730100</x:v>
      </x:c>
      <x:c r="D27" s="42" t="str">
        <x:v>Capital expenditure</x:v>
      </x:c>
      <x:c r="E27" s="42" t="str">
        <x:v>capital</x:v>
      </x:c>
      <x:c r="F27" s="42" t="str">
        <x:v>below_noi</x:v>
      </x:c>
      <x:c r="G27" s="42" t="n">
        <x:v>1</x:v>
      </x:c>
      <x:c r="H27" s="42" t="str">
        <x:v>Capital</x:v>
      </x:c>
      <x:c r="I27" s="65"/>
      <x:c r="J27" s="42" t="str">
        <x:v>STR Build!58</x:v>
      </x:c>
      <x:c r="K27" s="42" t="str">
        <x:v>Mapping evidence</x:v>
      </x:c>
      <x:c r="L27" s="55" t="str">
        <x:v>Unmapped</x:v>
      </x:c>
      <x:c r="M27" s="42"/>
      <x:c r="N27" s="42"/>
      <x:c r="O27" s="42"/>
      <x:c r="P27" s="42"/>
      <x:c r="Q27" s="42"/>
      <x:c r="R27" s="42"/>
      <x:c r="S27" s="42"/>
      <x:c r="T27" s="42"/>
    </x:row>
    <x:row r="28" ht="22" customHeight="1">
      <x:c r="A28" s="42"/>
      <x:c r="B28" s="42"/>
      <x:c r="C28" s="42" t="str">
        <x:v>740100</x:v>
      </x:c>
      <x:c r="D28" s="42" t="str">
        <x:v>Working-capital cash use</x:v>
      </x:c>
      <x:c r="E28" s="42" t="str">
        <x:v>below_noi</x:v>
      </x:c>
      <x:c r="F28" s="42" t="str">
        <x:v>below_noi</x:v>
      </x:c>
      <x:c r="G28" s="42" t="n">
        <x:v>1</x:v>
      </x:c>
      <x:c r="H28" s="42" t="str">
        <x:v>Working capital</x:v>
      </x:c>
      <x:c r="I28" s="65"/>
      <x:c r="J28" s="42" t="str">
        <x:v>STR Build!59</x:v>
      </x:c>
      <x:c r="K28" s="42" t="str">
        <x:v>Mapping evidence</x:v>
      </x:c>
      <x:c r="L28" s="55" t="str">
        <x:v>Unmapped</x:v>
      </x:c>
      <x:c r="M28" s="42"/>
      <x:c r="N28" s="42"/>
      <x:c r="O28" s="42"/>
      <x:c r="P28" s="42"/>
      <x:c r="Q28" s="42"/>
      <x:c r="R28" s="42"/>
      <x:c r="S28" s="42"/>
      <x:c r="T28" s="42"/>
    </x:row>
    <x:row r="29" ht="22" customHeight="1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</x:row>
    <x:row r="30" ht="22" customHeight="1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</x:row>
    <x:row r="31" ht="22" customHeight="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</x:row>
    <x:row r="32" ht="22" customHeight="1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</x:row>
    <x:row r="33" ht="22" customHeight="1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</x:row>
    <x:row r="34" ht="22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</x:row>
    <x:row r="35" ht="22" customHeight="1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</x:row>
    <x:row r="36" ht="22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</x:row>
    <x:row r="37" ht="22" customHeight="1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</x:row>
    <x:row r="38" ht="22" customHeight="1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</x:row>
    <x:row r="39" ht="22" customHeight="1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</x:row>
    <x:row r="40" ht="22" customHeight="1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</x:row>
    <x:row r="41" ht="22" customHeight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</x:row>
    <x:row r="42" ht="22" customHeight="1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</x:row>
    <x:row r="43" ht="22" customHeight="1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</x:row>
    <x:row r="44" ht="22" customHeight="1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</x:row>
    <x:row r="45" ht="22" customHeight="1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</x:row>
    <x:row r="46" ht="22" customHeight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</x:row>
    <x:row r="47" ht="22" customHeight="1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</x:row>
    <x:row r="48" ht="22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</x:row>
    <x:row r="49" ht="22" customHeight="1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</x:row>
    <x:row r="50" ht="22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</x:row>
    <x:row r="51" ht="22" customHeight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</x:row>
    <x:row r="52" ht="22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</x:row>
    <x:row r="53" ht="22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</x:row>
    <x:row r="54" ht="22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</x:row>
    <x:row r="55" ht="22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</x:row>
    <x:row r="56" ht="22" customHeight="1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</x:row>
    <x:row r="57" ht="22" customHeight="1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</x:row>
    <x:row r="58" ht="22" customHeight="1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</x:row>
    <x:row r="59" ht="22" customHeight="1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</x:row>
    <x:row r="60" ht="22" customHeight="1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</x:row>
    <x:row r="61" ht="22" customHeight="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</x:row>
    <x:row r="62" ht="22" customHeight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</x:row>
    <x:row r="63" ht="22" customHeight="1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</x:row>
    <x:row r="64" ht="22" customHeight="1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</x:row>
    <x:row r="65" ht="22" customHeight="1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</x:row>
    <x:row r="66" ht="22" customHeight="1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</x:row>
    <x:row r="67" ht="22" customHeight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</x:row>
    <x:row r="68" ht="22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</x:row>
    <x:row r="69" ht="22" customHeight="1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</x:row>
    <x:row r="70" ht="22" customHeight="1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</x:row>
    <x:row r="71" ht="22" customHeight="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</x:row>
    <x:row r="72" ht="22" customHeight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</x:row>
    <x:row r="73" ht="22" customHeight="1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</x:row>
    <x:row r="74" ht="22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</x:row>
    <x:row r="75" ht="22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</x:row>
    <x:row r="76" ht="22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</x:row>
    <x:row r="77" ht="22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</x:row>
    <x:row r="78" ht="2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</x:row>
    <x:row r="79" ht="2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</x:row>
    <x:row r="80" ht="2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</x:row>
    <x:row r="81" ht="2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</x:row>
    <x:row r="82" ht="22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</x:row>
    <x:row r="83" ht="22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</x:row>
    <x:row r="84" ht="22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</x:row>
    <x:row r="85" ht="22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</x:row>
    <x:row r="86" ht="22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</x:row>
    <x:row r="87" ht="22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</x:row>
    <x:row r="88" ht="22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</x:row>
    <x:row r="89" ht="22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</x:row>
    <x:row r="90" ht="22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</x:row>
  </x:sheetData>
  <x:dataValidations count="1">
    <x:dataValidation type="list" sqref="L7:L28">
      <x:formula1>"Unmapped,Reviewed in ATLAS"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32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22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67"/>
      <x:c r="V1" s="67"/>
    </x:row>
    <x:row r="2" ht="22" customHeight="1">
      <x:c r="A2" s="42"/>
      <x:c r="B2" s="42"/>
      <x:c r="C2" s="43" t="str">
        <x:v>ATLAS Export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2"/>
      <x:c r="S2" s="42"/>
      <x:c r="T2" s="42"/>
      <x:c r="U2" s="67"/>
      <x:c r="V2" s="67"/>
    </x:row>
    <x:row r="3" ht="22" customHeight="1">
      <x:c r="A3" s="42"/>
      <x:c r="B3" s="42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2"/>
      <x:c r="S3" s="42"/>
      <x:c r="T3" s="42"/>
      <x:c r="U3" s="67"/>
      <x:c r="V3" s="67"/>
    </x:row>
    <x:row r="4" ht="22" customHeight="1">
      <x:c r="A4" s="42"/>
      <x:c r="B4" s="42"/>
      <x:c r="C4" s="42" t="str">
        <x:v>Working forecast export. Provisional GL mapping requires explicit authorization in ATLAS.</x:v>
      </x:c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67"/>
      <x:c r="V4" s="67"/>
    </x:row>
    <x:row r="5" ht="22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67"/>
      <x:c r="V5" s="67"/>
    </x:row>
    <x:row r="6" ht="38" customHeight="1">
      <x:c r="A6" s="42"/>
      <x:c r="B6" s="42"/>
      <x:c r="C6" s="72" t="str">
        <x:v>Community ID</x:v>
      </x:c>
      <x:c r="D6" s="72" t="str">
        <x:v>Entity</x:v>
      </x:c>
      <x:c r="E6" s="72" t="str">
        <x:v>Period</x:v>
      </x:c>
      <x:c r="F6" s="72" t="str">
        <x:v>Scenario</x:v>
      </x:c>
      <x:c r="G6" s="72" t="str">
        <x:v>GL Account</x:v>
      </x:c>
      <x:c r="H6" s="72" t="str">
        <x:v>Account name</x:v>
      </x:c>
      <x:c r="I6" s="72" t="str">
        <x:v>Department</x:v>
      </x:c>
      <x:c r="J6" s="72" t="str">
        <x:v>Currency</x:v>
      </x:c>
      <x:c r="K6" s="72" t="str">
        <x:v>Fiscal calendar</x:v>
      </x:c>
      <x:c r="L6" s="72" t="str">
        <x:v>Accounting basis</x:v>
      </x:c>
      <x:c r="M6" s="72" t="str">
        <x:v>Last Closed Month</x:v>
      </x:c>
      <x:c r="N6" s="72" t="str">
        <x:v>Mapping version</x:v>
      </x:c>
      <x:c r="O6" s="72" t="str">
        <x:v>Nature</x:v>
      </x:c>
      <x:c r="P6" s="72" t="str">
        <x:v>Statement placement</x:v>
      </x:c>
      <x:c r="Q6" s="72" t="str">
        <x:v>Sign multiplier</x:v>
      </x:c>
      <x:c r="R6" s="72" t="str">
        <x:v>Amount</x:v>
      </x:c>
      <x:c r="S6" s="72" t="str">
        <x:v>Source coordinates</x:v>
      </x:c>
      <x:c r="T6" s="72" t="str">
        <x:v>Cell role</x:v>
      </x:c>
      <x:c r="U6" s="73" t="str">
        <x:v>Value status</x:v>
      </x:c>
      <x:c r="V6" s="73" t="str">
        <x:v>Period authority</x:v>
      </x:c>
    </x:row>
    <x:row r="7" ht="22" customHeight="1">
      <x:c r="A7" s="42"/>
      <x:c r="B7" s="42"/>
      <x:c r="C7" s="42" t="str">
        <x:f>IF('Drivers'!$D$5="","",'Drivers'!$D$5)</x:f>
      </x:c>
      <x:c r="D7" s="42" t="str">
        <x:f>IF('Drivers'!$D$4="","",'Drivers'!$D$4)</x:f>
      </x:c>
      <x:c r="E7" s="69" t="n">
        <x:f>'STR Build'!F$6</x:f>
        <x:v>46388</x:v>
      </x:c>
      <x:c r="F7" s="42" t="str">
        <x:f>IF('Drivers'!$D$10="","",'Drivers'!$D$10)</x:f>
        <x:v>Working Draft</x:v>
      </x:c>
      <x:c r="G7" s="42" t="str">
        <x:f>IF('GL Mapping'!I7="",'GL Mapping'!C7,'GL Mapping'!I7)</x:f>
        <x:v>410100</x:v>
      </x:c>
      <x:c r="H7" s="42" t="str">
        <x:v>Lodging revenue</x:v>
      </x:c>
      <x:c r="I7" s="42" t="str">
        <x:f>IF('Drivers'!$D$11="","",'Drivers'!$D$11)</x:f>
        <x:v>Short-Term Rentals</x:v>
      </x:c>
      <x:c r="J7" s="42" t="str">
        <x:f>IF('Drivers'!$D$8="","",'Drivers'!$D$8)</x:f>
        <x:v>USD</x:v>
      </x:c>
      <x:c r="K7" s="42" t="str">
        <x:f>IF('Drivers'!$D$21="","",'Drivers'!$D$21)</x:f>
        <x:v>Calendar</x:v>
      </x:c>
      <x:c r="L7" s="42" t="str">
        <x:f>IF('Drivers'!$D$9="","",'Drivers'!$D$9)</x:f>
        <x:v>Accrual</x:v>
      </x:c>
      <x:c r="M7" s="70" t="str">
        <x:f>IF('Drivers'!$D$12="","",'Drivers'!$D$12)</x:f>
      </x:c>
      <x:c r="N7" s="42" t="str">
        <x:f>IF('Drivers'!$D$15="","",'Drivers'!$D$15)</x:f>
      </x:c>
      <x:c r="O7" s="42" t="str">
        <x:v>income</x:v>
      </x:c>
      <x:c r="P7" s="42" t="str">
        <x:v>above_noi</x:v>
      </x:c>
      <x:c r="Q7" s="42" t="n">
        <x:v>1</x:v>
      </x:c>
      <x:c r="R7" s="51" t="str">
        <x:f>IF(V7="Closed: excluded","",IF(ISNUMBER('STR Build'!F28),'STR Build'!F28,""))</x:f>
      </x:c>
      <x:c r="S7" s="42" t="str">
        <x:v>STR Build!F28</x:v>
      </x:c>
      <x:c r="T7" s="42" t="str">
        <x:v>Formula</x:v>
      </x:c>
      <x:c r="U7" s="67" t="str">
        <x:f>IF(ISNUMBER(R7),IF(R7=0,"Populated zero","Populated"),"Missing")</x:f>
        <x:v>Missing</x:v>
      </x:c>
      <x:c r="V7" s="67" t="str">
        <x:f>IF(AND(ISNUMBER('Drivers'!$D$12),E7&lt;='Drivers'!$D$12),"Closed: excluded","Open forecast")</x:f>
        <x:v>Open forecast</x:v>
      </x:c>
    </x:row>
    <x:row r="8" ht="22" customHeight="1">
      <x:c r="A8" s="42"/>
      <x:c r="B8" s="42"/>
      <x:c r="C8" s="42" t="str">
        <x:f>IF('Drivers'!$D$5="","",'Drivers'!$D$5)</x:f>
      </x:c>
      <x:c r="D8" s="42" t="str">
        <x:f>IF('Drivers'!$D$4="","",'Drivers'!$D$4)</x:f>
      </x:c>
      <x:c r="E8" s="69" t="n">
        <x:f>'STR Build'!F$6</x:f>
        <x:v>46388</x:v>
      </x:c>
      <x:c r="F8" s="42" t="str">
        <x:f>IF('Drivers'!$D$10="","",'Drivers'!$D$10)</x:f>
        <x:v>Working Draft</x:v>
      </x:c>
      <x:c r="G8" s="42" t="str">
        <x:f>IF('GL Mapping'!I8="",'GL Mapping'!C8,'GL Mapping'!I8)</x:f>
        <x:v>410200</x:v>
      </x:c>
      <x:c r="H8" s="42" t="str">
        <x:v>Cleaning fee income</x:v>
      </x:c>
      <x:c r="I8" s="42" t="str">
        <x:f>IF('Drivers'!$D$11="","",'Drivers'!$D$11)</x:f>
        <x:v>Short-Term Rentals</x:v>
      </x:c>
      <x:c r="J8" s="42" t="str">
        <x:f>IF('Drivers'!$D$8="","",'Drivers'!$D$8)</x:f>
        <x:v>USD</x:v>
      </x:c>
      <x:c r="K8" s="42" t="str">
        <x:f>IF('Drivers'!$D$21="","",'Drivers'!$D$21)</x:f>
        <x:v>Calendar</x:v>
      </x:c>
      <x:c r="L8" s="42" t="str">
        <x:f>IF('Drivers'!$D$9="","",'Drivers'!$D$9)</x:f>
        <x:v>Accrual</x:v>
      </x:c>
      <x:c r="M8" s="70" t="str">
        <x:f>IF('Drivers'!$D$12="","",'Drivers'!$D$12)</x:f>
      </x:c>
      <x:c r="N8" s="42" t="str">
        <x:f>IF('Drivers'!$D$15="","",'Drivers'!$D$15)</x:f>
      </x:c>
      <x:c r="O8" s="42" t="str">
        <x:v>income</x:v>
      </x:c>
      <x:c r="P8" s="42" t="str">
        <x:v>above_noi</x:v>
      </x:c>
      <x:c r="Q8" s="42" t="n">
        <x:v>1</x:v>
      </x:c>
      <x:c r="R8" s="51" t="str">
        <x:f>IF(V8="Closed: excluded","",IF(ISNUMBER('STR Build'!F29),'STR Build'!F29,""))</x:f>
      </x:c>
      <x:c r="S8" s="42" t="str">
        <x:v>STR Build!F29</x:v>
      </x:c>
      <x:c r="T8" s="42" t="str">
        <x:v>Formula</x:v>
      </x:c>
      <x:c r="U8" s="67" t="str">
        <x:f>IF(ISNUMBER(R8),IF(R8=0,"Populated zero","Populated"),"Missing")</x:f>
        <x:v>Missing</x:v>
      </x:c>
      <x:c r="V8" s="67" t="str">
        <x:f>IF(AND(ISNUMBER('Drivers'!$D$12),E8&lt;='Drivers'!$D$12),"Closed: excluded","Open forecast")</x:f>
        <x:v>Open forecast</x:v>
      </x:c>
    </x:row>
    <x:row r="9" ht="22" customHeight="1">
      <x:c r="A9" s="42"/>
      <x:c r="B9" s="42"/>
      <x:c r="C9" s="42" t="str">
        <x:f>IF('Drivers'!$D$5="","",'Drivers'!$D$5)</x:f>
      </x:c>
      <x:c r="D9" s="42" t="str">
        <x:f>IF('Drivers'!$D$4="","",'Drivers'!$D$4)</x:f>
      </x:c>
      <x:c r="E9" s="69" t="n">
        <x:f>'STR Build'!F$6</x:f>
        <x:v>46388</x:v>
      </x:c>
      <x:c r="F9" s="42" t="str">
        <x:f>IF('Drivers'!$D$10="","",'Drivers'!$D$10)</x:f>
        <x:v>Working Draft</x:v>
      </x:c>
      <x:c r="G9" s="42" t="str">
        <x:f>IF('GL Mapping'!I9="",'GL Mapping'!C9,'GL Mapping'!I9)</x:f>
        <x:v>410300</x:v>
      </x:c>
      <x:c r="H9" s="42" t="str">
        <x:v>Other guest fee income</x:v>
      </x:c>
      <x:c r="I9" s="42" t="str">
        <x:f>IF('Drivers'!$D$11="","",'Drivers'!$D$11)</x:f>
        <x:v>Short-Term Rentals</x:v>
      </x:c>
      <x:c r="J9" s="42" t="str">
        <x:f>IF('Drivers'!$D$8="","",'Drivers'!$D$8)</x:f>
        <x:v>USD</x:v>
      </x:c>
      <x:c r="K9" s="42" t="str">
        <x:f>IF('Drivers'!$D$21="","",'Drivers'!$D$21)</x:f>
        <x:v>Calendar</x:v>
      </x:c>
      <x:c r="L9" s="42" t="str">
        <x:f>IF('Drivers'!$D$9="","",'Drivers'!$D$9)</x:f>
        <x:v>Accrual</x:v>
      </x:c>
      <x:c r="M9" s="70" t="str">
        <x:f>IF('Drivers'!$D$12="","",'Drivers'!$D$12)</x:f>
      </x:c>
      <x:c r="N9" s="42" t="str">
        <x:f>IF('Drivers'!$D$15="","",'Drivers'!$D$15)</x:f>
      </x:c>
      <x:c r="O9" s="42" t="str">
        <x:v>income</x:v>
      </x:c>
      <x:c r="P9" s="42" t="str">
        <x:v>above_noi</x:v>
      </x:c>
      <x:c r="Q9" s="42" t="n">
        <x:v>1</x:v>
      </x:c>
      <x:c r="R9" s="51" t="str">
        <x:f>IF(V9="Closed: excluded","",IF(ISNUMBER('STR Build'!F30),'STR Build'!F30,""))</x:f>
      </x:c>
      <x:c r="S9" s="42" t="str">
        <x:v>STR Build!F30</x:v>
      </x:c>
      <x:c r="T9" s="42" t="str">
        <x:v>Formula</x:v>
      </x:c>
      <x:c r="U9" s="67" t="str">
        <x:f>IF(ISNUMBER(R9),IF(R9=0,"Populated zero","Populated"),"Missing")</x:f>
        <x:v>Missing</x:v>
      </x:c>
      <x:c r="V9" s="67" t="str">
        <x:f>IF(AND(ISNUMBER('Drivers'!$D$12),E9&lt;='Drivers'!$D$12),"Closed: excluded","Open forecast")</x:f>
        <x:v>Open forecast</x:v>
      </x:c>
    </x:row>
    <x:row r="10" ht="22" customHeight="1">
      <x:c r="A10" s="42"/>
      <x:c r="B10" s="42"/>
      <x:c r="C10" s="42" t="str">
        <x:f>IF('Drivers'!$D$5="","",'Drivers'!$D$5)</x:f>
      </x:c>
      <x:c r="D10" s="42" t="str">
        <x:f>IF('Drivers'!$D$4="","",'Drivers'!$D$4)</x:f>
      </x:c>
      <x:c r="E10" s="69" t="n">
        <x:f>'STR Build'!F$6</x:f>
        <x:v>46388</x:v>
      </x:c>
      <x:c r="F10" s="42" t="str">
        <x:f>IF('Drivers'!$D$10="","",'Drivers'!$D$10)</x:f>
        <x:v>Working Draft</x:v>
      </x:c>
      <x:c r="G10" s="42" t="str">
        <x:f>IF('GL Mapping'!I10="",'GL Mapping'!C10,'GL Mapping'!I10)</x:f>
        <x:v>419100</x:v>
      </x:c>
      <x:c r="H10" s="42" t="str">
        <x:v>Refunds and discounts</x:v>
      </x:c>
      <x:c r="I10" s="42" t="str">
        <x:f>IF('Drivers'!$D$11="","",'Drivers'!$D$11)</x:f>
        <x:v>Short-Term Rentals</x:v>
      </x:c>
      <x:c r="J10" s="42" t="str">
        <x:f>IF('Drivers'!$D$8="","",'Drivers'!$D$8)</x:f>
        <x:v>USD</x:v>
      </x:c>
      <x:c r="K10" s="42" t="str">
        <x:f>IF('Drivers'!$D$21="","",'Drivers'!$D$21)</x:f>
        <x:v>Calendar</x:v>
      </x:c>
      <x:c r="L10" s="42" t="str">
        <x:f>IF('Drivers'!$D$9="","",'Drivers'!$D$9)</x:f>
        <x:v>Accrual</x:v>
      </x:c>
      <x:c r="M10" s="70" t="str">
        <x:f>IF('Drivers'!$D$12="","",'Drivers'!$D$12)</x:f>
      </x:c>
      <x:c r="N10" s="42" t="str">
        <x:f>IF('Drivers'!$D$15="","",'Drivers'!$D$15)</x:f>
      </x:c>
      <x:c r="O10" s="42" t="str">
        <x:v>contra_income</x:v>
      </x:c>
      <x:c r="P10" s="42" t="str">
        <x:v>above_noi</x:v>
      </x:c>
      <x:c r="Q10" s="42" t="n">
        <x:v>1</x:v>
      </x:c>
      <x:c r="R10" s="51" t="str">
        <x:f>IF(V10="Closed: excluded","",IF(ISNUMBER('STR Build'!F32),'STR Build'!F32,""))</x:f>
      </x:c>
      <x:c r="S10" s="42" t="str">
        <x:v>STR Build!F32</x:v>
      </x:c>
      <x:c r="T10" s="42" t="str">
        <x:v>Formula</x:v>
      </x:c>
      <x:c r="U10" s="67" t="str">
        <x:f>IF(ISNUMBER(R10),IF(R10=0,"Populated zero","Populated"),"Missing")</x:f>
        <x:v>Missing</x:v>
      </x:c>
      <x:c r="V10" s="67" t="str">
        <x:f>IF(AND(ISNUMBER('Drivers'!$D$12),E10&lt;='Drivers'!$D$12),"Closed: excluded","Open forecast")</x:f>
        <x:v>Open forecast</x:v>
      </x:c>
    </x:row>
    <x:row r="11" ht="22" customHeight="1">
      <x:c r="A11" s="42"/>
      <x:c r="B11" s="42"/>
      <x:c r="C11" s="42" t="str">
        <x:f>IF('Drivers'!$D$5="","",'Drivers'!$D$5)</x:f>
      </x:c>
      <x:c r="D11" s="42" t="str">
        <x:f>IF('Drivers'!$D$4="","",'Drivers'!$D$4)</x:f>
      </x:c>
      <x:c r="E11" s="69" t="n">
        <x:f>'STR Build'!F$6</x:f>
        <x:v>46388</x:v>
      </x:c>
      <x:c r="F11" s="42" t="str">
        <x:f>IF('Drivers'!$D$10="","",'Drivers'!$D$10)</x:f>
        <x:v>Working Draft</x:v>
      </x:c>
      <x:c r="G11" s="42" t="str">
        <x:f>IF('GL Mapping'!I11="",'GL Mapping'!C11,'GL Mapping'!I11)</x:f>
        <x:v>419200</x:v>
      </x:c>
      <x:c r="H11" s="42" t="str">
        <x:v>Bad debt</x:v>
      </x:c>
      <x:c r="I11" s="42" t="str">
        <x:f>IF('Drivers'!$D$11="","",'Drivers'!$D$11)</x:f>
        <x:v>Short-Term Rentals</x:v>
      </x:c>
      <x:c r="J11" s="42" t="str">
        <x:f>IF('Drivers'!$D$8="","",'Drivers'!$D$8)</x:f>
        <x:v>USD</x:v>
      </x:c>
      <x:c r="K11" s="42" t="str">
        <x:f>IF('Drivers'!$D$21="","",'Drivers'!$D$21)</x:f>
        <x:v>Calendar</x:v>
      </x:c>
      <x:c r="L11" s="42" t="str">
        <x:f>IF('Drivers'!$D$9="","",'Drivers'!$D$9)</x:f>
        <x:v>Accrual</x:v>
      </x:c>
      <x:c r="M11" s="70" t="str">
        <x:f>IF('Drivers'!$D$12="","",'Drivers'!$D$12)</x:f>
      </x:c>
      <x:c r="N11" s="42" t="str">
        <x:f>IF('Drivers'!$D$15="","",'Drivers'!$D$15)</x:f>
      </x:c>
      <x:c r="O11" s="42" t="str">
        <x:v>contra_income</x:v>
      </x:c>
      <x:c r="P11" s="42" t="str">
        <x:v>above_noi</x:v>
      </x:c>
      <x:c r="Q11" s="42" t="n">
        <x:v>1</x:v>
      </x:c>
      <x:c r="R11" s="51" t="str">
        <x:f>IF(V11="Closed: excluded","",IF(ISNUMBER('STR Build'!F33),'STR Build'!F33,""))</x:f>
      </x:c>
      <x:c r="S11" s="42" t="str">
        <x:v>STR Build!F33</x:v>
      </x:c>
      <x:c r="T11" s="42" t="str">
        <x:v>Formula</x:v>
      </x:c>
      <x:c r="U11" s="67" t="str">
        <x:f>IF(ISNUMBER(R11),IF(R11=0,"Populated zero","Populated"),"Missing")</x:f>
        <x:v>Missing</x:v>
      </x:c>
      <x:c r="V11" s="67" t="str">
        <x:f>IF(AND(ISNUMBER('Drivers'!$D$12),E11&lt;='Drivers'!$D$12),"Closed: excluded","Open forecast")</x:f>
        <x:v>Open forecast</x:v>
      </x:c>
    </x:row>
    <x:row r="12" ht="22" customHeight="1">
      <x:c r="A12" s="42"/>
      <x:c r="B12" s="42"/>
      <x:c r="C12" s="42" t="str">
        <x:f>IF('Drivers'!$D$5="","",'Drivers'!$D$5)</x:f>
      </x:c>
      <x:c r="D12" s="42" t="str">
        <x:f>IF('Drivers'!$D$4="","",'Drivers'!$D$4)</x:f>
      </x:c>
      <x:c r="E12" s="69" t="n">
        <x:f>'STR Build'!F$6</x:f>
        <x:v>46388</x:v>
      </x:c>
      <x:c r="F12" s="42" t="str">
        <x:f>IF('Drivers'!$D$10="","",'Drivers'!$D$10)</x:f>
        <x:v>Working Draft</x:v>
      </x:c>
      <x:c r="G12" s="42" t="str">
        <x:f>IF('GL Mapping'!I12="",'GL Mapping'!C12,'GL Mapping'!I12)</x:f>
        <x:v>610100</x:v>
      </x:c>
      <x:c r="H12" s="42" t="str">
        <x:v>Channel commissions</x:v>
      </x:c>
      <x:c r="I12" s="42" t="str">
        <x:f>IF('Drivers'!$D$11="","",'Drivers'!$D$11)</x:f>
        <x:v>Short-Term Rentals</x:v>
      </x:c>
      <x:c r="J12" s="42" t="str">
        <x:f>IF('Drivers'!$D$8="","",'Drivers'!$D$8)</x:f>
        <x:v>USD</x:v>
      </x:c>
      <x:c r="K12" s="42" t="str">
        <x:f>IF('Drivers'!$D$21="","",'Drivers'!$D$21)</x:f>
        <x:v>Calendar</x:v>
      </x:c>
      <x:c r="L12" s="42" t="str">
        <x:f>IF('Drivers'!$D$9="","",'Drivers'!$D$9)</x:f>
        <x:v>Accrual</x:v>
      </x:c>
      <x:c r="M12" s="70" t="str">
        <x:f>IF('Drivers'!$D$12="","",'Drivers'!$D$12)</x:f>
      </x:c>
      <x:c r="N12" s="42" t="str">
        <x:f>IF('Drivers'!$D$15="","",'Drivers'!$D$15)</x:f>
      </x:c>
      <x:c r="O12" s="42" t="str">
        <x:v>expense</x:v>
      </x:c>
      <x:c r="P12" s="42" t="str">
        <x:v>above_noi</x:v>
      </x:c>
      <x:c r="Q12" s="42" t="n">
        <x:v>1</x:v>
      </x:c>
      <x:c r="R12" s="51" t="str">
        <x:f>IF(V12="Closed: excluded","",IF(ISNUMBER('STR Build'!F36),'STR Build'!F36,""))</x:f>
      </x:c>
      <x:c r="S12" s="42" t="str">
        <x:v>STR Build!F36</x:v>
      </x:c>
      <x:c r="T12" s="42" t="str">
        <x:v>Formula</x:v>
      </x:c>
      <x:c r="U12" s="67" t="str">
        <x:f>IF(ISNUMBER(R12),IF(R12=0,"Populated zero","Populated"),"Missing")</x:f>
        <x:v>Missing</x:v>
      </x:c>
      <x:c r="V12" s="67" t="str">
        <x:f>IF(AND(ISNUMBER('Drivers'!$D$12),E12&lt;='Drivers'!$D$12),"Closed: excluded","Open forecast")</x:f>
        <x:v>Open forecast</x:v>
      </x:c>
    </x:row>
    <x:row r="13" ht="22" customHeight="1">
      <x:c r="A13" s="42"/>
      <x:c r="B13" s="42"/>
      <x:c r="C13" s="42" t="str">
        <x:f>IF('Drivers'!$D$5="","",'Drivers'!$D$5)</x:f>
      </x:c>
      <x:c r="D13" s="42" t="str">
        <x:f>IF('Drivers'!$D$4="","",'Drivers'!$D$4)</x:f>
      </x:c>
      <x:c r="E13" s="69" t="n">
        <x:f>'STR Build'!F$6</x:f>
        <x:v>46388</x:v>
      </x:c>
      <x:c r="F13" s="42" t="str">
        <x:f>IF('Drivers'!$D$10="","",'Drivers'!$D$10)</x:f>
        <x:v>Working Draft</x:v>
      </x:c>
      <x:c r="G13" s="42" t="str">
        <x:f>IF('GL Mapping'!I13="",'GL Mapping'!C13,'GL Mapping'!I13)</x:f>
        <x:v>610200</x:v>
      </x:c>
      <x:c r="H13" s="42" t="str">
        <x:v>Cleaning expense</x:v>
      </x:c>
      <x:c r="I13" s="42" t="str">
        <x:f>IF('Drivers'!$D$11="","",'Drivers'!$D$11)</x:f>
        <x:v>Short-Term Rentals</x:v>
      </x:c>
      <x:c r="J13" s="42" t="str">
        <x:f>IF('Drivers'!$D$8="","",'Drivers'!$D$8)</x:f>
        <x:v>USD</x:v>
      </x:c>
      <x:c r="K13" s="42" t="str">
        <x:f>IF('Drivers'!$D$21="","",'Drivers'!$D$21)</x:f>
        <x:v>Calendar</x:v>
      </x:c>
      <x:c r="L13" s="42" t="str">
        <x:f>IF('Drivers'!$D$9="","",'Drivers'!$D$9)</x:f>
        <x:v>Accrual</x:v>
      </x:c>
      <x:c r="M13" s="70" t="str">
        <x:f>IF('Drivers'!$D$12="","",'Drivers'!$D$12)</x:f>
      </x:c>
      <x:c r="N13" s="42" t="str">
        <x:f>IF('Drivers'!$D$15="","",'Drivers'!$D$15)</x:f>
      </x:c>
      <x:c r="O13" s="42" t="str">
        <x:v>expense</x:v>
      </x:c>
      <x:c r="P13" s="42" t="str">
        <x:v>above_noi</x:v>
      </x:c>
      <x:c r="Q13" s="42" t="n">
        <x:v>1</x:v>
      </x:c>
      <x:c r="R13" s="51" t="str">
        <x:f>IF(V13="Closed: excluded","",IF(ISNUMBER('STR Build'!F37),'STR Build'!F37,""))</x:f>
      </x:c>
      <x:c r="S13" s="42" t="str">
        <x:v>STR Build!F37</x:v>
      </x:c>
      <x:c r="T13" s="42" t="str">
        <x:v>Formula</x:v>
      </x:c>
      <x:c r="U13" s="67" t="str">
        <x:f>IF(ISNUMBER(R13),IF(R13=0,"Populated zero","Populated"),"Missing")</x:f>
        <x:v>Missing</x:v>
      </x:c>
      <x:c r="V13" s="67" t="str">
        <x:f>IF(AND(ISNUMBER('Drivers'!$D$12),E13&lt;='Drivers'!$D$12),"Closed: excluded","Open forecast")</x:f>
        <x:v>Open forecast</x:v>
      </x:c>
    </x:row>
    <x:row r="14" ht="22" customHeight="1">
      <x:c r="A14" s="42"/>
      <x:c r="B14" s="42"/>
      <x:c r="C14" s="42" t="str">
        <x:f>IF('Drivers'!$D$5="","",'Drivers'!$D$5)</x:f>
      </x:c>
      <x:c r="D14" s="42" t="str">
        <x:f>IF('Drivers'!$D$4="","",'Drivers'!$D$4)</x:f>
      </x:c>
      <x:c r="E14" s="69" t="n">
        <x:f>'STR Build'!F$6</x:f>
        <x:v>46388</x:v>
      </x:c>
      <x:c r="F14" s="42" t="str">
        <x:f>IF('Drivers'!$D$10="","",'Drivers'!$D$10)</x:f>
        <x:v>Working Draft</x:v>
      </x:c>
      <x:c r="G14" s="42" t="str">
        <x:f>IF('GL Mapping'!I14="",'GL Mapping'!C14,'GL Mapping'!I14)</x:f>
        <x:v>610300</x:v>
      </x:c>
      <x:c r="H14" s="42" t="str">
        <x:v>Property-borne lodging tax</x:v>
      </x:c>
      <x:c r="I14" s="42" t="str">
        <x:f>IF('Drivers'!$D$11="","",'Drivers'!$D$11)</x:f>
        <x:v>Short-Term Rentals</x:v>
      </x:c>
      <x:c r="J14" s="42" t="str">
        <x:f>IF('Drivers'!$D$8="","",'Drivers'!$D$8)</x:f>
        <x:v>USD</x:v>
      </x:c>
      <x:c r="K14" s="42" t="str">
        <x:f>IF('Drivers'!$D$21="","",'Drivers'!$D$21)</x:f>
        <x:v>Calendar</x:v>
      </x:c>
      <x:c r="L14" s="42" t="str">
        <x:f>IF('Drivers'!$D$9="","",'Drivers'!$D$9)</x:f>
        <x:v>Accrual</x:v>
      </x:c>
      <x:c r="M14" s="70" t="str">
        <x:f>IF('Drivers'!$D$12="","",'Drivers'!$D$12)</x:f>
      </x:c>
      <x:c r="N14" s="42" t="str">
        <x:f>IF('Drivers'!$D$15="","",'Drivers'!$D$15)</x:f>
      </x:c>
      <x:c r="O14" s="42" t="str">
        <x:v>expense</x:v>
      </x:c>
      <x:c r="P14" s="42" t="str">
        <x:v>above_noi</x:v>
      </x:c>
      <x:c r="Q14" s="42" t="n">
        <x:v>1</x:v>
      </x:c>
      <x:c r="R14" s="51" t="str">
        <x:f>IF(V14="Closed: excluded","",IF(ISNUMBER('STR Build'!F38),'STR Build'!F38,""))</x:f>
      </x:c>
      <x:c r="S14" s="42" t="str">
        <x:v>STR Build!F38</x:v>
      </x:c>
      <x:c r="T14" s="42" t="str">
        <x:v>Formula</x:v>
      </x:c>
      <x:c r="U14" s="67" t="str">
        <x:f>IF(ISNUMBER(R14),IF(R14=0,"Populated zero","Populated"),"Missing")</x:f>
        <x:v>Missing</x:v>
      </x:c>
      <x:c r="V14" s="67" t="str">
        <x:f>IF(AND(ISNUMBER('Drivers'!$D$12),E14&lt;='Drivers'!$D$12),"Closed: excluded","Open forecast")</x:f>
        <x:v>Open forecast</x:v>
      </x:c>
    </x:row>
    <x:row r="15" ht="22" customHeight="1">
      <x:c r="A15" s="42"/>
      <x:c r="B15" s="42"/>
      <x:c r="C15" s="42" t="str">
        <x:f>IF('Drivers'!$D$5="","",'Drivers'!$D$5)</x:f>
      </x:c>
      <x:c r="D15" s="42" t="str">
        <x:f>IF('Drivers'!$D$4="","",'Drivers'!$D$4)</x:f>
      </x:c>
      <x:c r="E15" s="69" t="n">
        <x:f>'STR Build'!F$6</x:f>
        <x:v>46388</x:v>
      </x:c>
      <x:c r="F15" s="42" t="str">
        <x:f>IF('Drivers'!$D$10="","",'Drivers'!$D$10)</x:f>
        <x:v>Working Draft</x:v>
      </x:c>
      <x:c r="G15" s="42" t="str">
        <x:f>IF('GL Mapping'!I15="",'GL Mapping'!C15,'GL Mapping'!I15)</x:f>
        <x:v>610400</x:v>
      </x:c>
      <x:c r="H15" s="42" t="str">
        <x:v>Supplies</x:v>
      </x:c>
      <x:c r="I15" s="42" t="str">
        <x:f>IF('Drivers'!$D$11="","",'Drivers'!$D$11)</x:f>
        <x:v>Short-Term Rentals</x:v>
      </x:c>
      <x:c r="J15" s="42" t="str">
        <x:f>IF('Drivers'!$D$8="","",'Drivers'!$D$8)</x:f>
        <x:v>USD</x:v>
      </x:c>
      <x:c r="K15" s="42" t="str">
        <x:f>IF('Drivers'!$D$21="","",'Drivers'!$D$21)</x:f>
        <x:v>Calendar</x:v>
      </x:c>
      <x:c r="L15" s="42" t="str">
        <x:f>IF('Drivers'!$D$9="","",'Drivers'!$D$9)</x:f>
        <x:v>Accrual</x:v>
      </x:c>
      <x:c r="M15" s="70" t="str">
        <x:f>IF('Drivers'!$D$12="","",'Drivers'!$D$12)</x:f>
      </x:c>
      <x:c r="N15" s="42" t="str">
        <x:f>IF('Drivers'!$D$15="","",'Drivers'!$D$15)</x:f>
      </x:c>
      <x:c r="O15" s="42" t="str">
        <x:v>expense</x:v>
      </x:c>
      <x:c r="P15" s="42" t="str">
        <x:v>above_noi</x:v>
      </x:c>
      <x:c r="Q15" s="42" t="n">
        <x:v>1</x:v>
      </x:c>
      <x:c r="R15" s="51" t="str">
        <x:f>IF(V15="Closed: excluded","",IF(ISNUMBER('STR Build'!F39),'STR Build'!F39,""))</x:f>
      </x:c>
      <x:c r="S15" s="42" t="str">
        <x:v>STR Build!F39</x:v>
      </x:c>
      <x:c r="T15" s="42" t="str">
        <x:v>Formula</x:v>
      </x:c>
      <x:c r="U15" s="67" t="str">
        <x:f>IF(ISNUMBER(R15),IF(R15=0,"Populated zero","Populated"),"Missing")</x:f>
        <x:v>Missing</x:v>
      </x:c>
      <x:c r="V15" s="67" t="str">
        <x:f>IF(AND(ISNUMBER('Drivers'!$D$12),E15&lt;='Drivers'!$D$12),"Closed: excluded","Open forecast")</x:f>
        <x:v>Open forecast</x:v>
      </x:c>
    </x:row>
    <x:row r="16" ht="22" customHeight="1">
      <x:c r="A16" s="42"/>
      <x:c r="B16" s="42"/>
      <x:c r="C16" s="42" t="str">
        <x:f>IF('Drivers'!$D$5="","",'Drivers'!$D$5)</x:f>
      </x:c>
      <x:c r="D16" s="42" t="str">
        <x:f>IF('Drivers'!$D$4="","",'Drivers'!$D$4)</x:f>
      </x:c>
      <x:c r="E16" s="69" t="n">
        <x:f>'STR Build'!F$6</x:f>
        <x:v>46388</x:v>
      </x:c>
      <x:c r="F16" s="42" t="str">
        <x:f>IF('Drivers'!$D$10="","",'Drivers'!$D$10)</x:f>
        <x:v>Working Draft</x:v>
      </x:c>
      <x:c r="G16" s="42" t="str">
        <x:f>IF('GL Mapping'!I16="",'GL Mapping'!C16,'GL Mapping'!I16)</x:f>
        <x:v>620100</x:v>
      </x:c>
      <x:c r="H16" s="42" t="str">
        <x:v>Payroll</x:v>
      </x:c>
      <x:c r="I16" s="42" t="str">
        <x:f>IF('Drivers'!$D$11="","",'Drivers'!$D$11)</x:f>
        <x:v>Short-Term Rentals</x:v>
      </x:c>
      <x:c r="J16" s="42" t="str">
        <x:f>IF('Drivers'!$D$8="","",'Drivers'!$D$8)</x:f>
        <x:v>USD</x:v>
      </x:c>
      <x:c r="K16" s="42" t="str">
        <x:f>IF('Drivers'!$D$21="","",'Drivers'!$D$21)</x:f>
        <x:v>Calendar</x:v>
      </x:c>
      <x:c r="L16" s="42" t="str">
        <x:f>IF('Drivers'!$D$9="","",'Drivers'!$D$9)</x:f>
        <x:v>Accrual</x:v>
      </x:c>
      <x:c r="M16" s="70" t="str">
        <x:f>IF('Drivers'!$D$12="","",'Drivers'!$D$12)</x:f>
      </x:c>
      <x:c r="N16" s="42" t="str">
        <x:f>IF('Drivers'!$D$15="","",'Drivers'!$D$15)</x:f>
      </x:c>
      <x:c r="O16" s="42" t="str">
        <x:v>expense</x:v>
      </x:c>
      <x:c r="P16" s="42" t="str">
        <x:v>above_noi</x:v>
      </x:c>
      <x:c r="Q16" s="42" t="n">
        <x:v>1</x:v>
      </x:c>
      <x:c r="R16" s="51" t="str">
        <x:f>IF(V16="Closed: excluded","",IF(ISNUMBER('STR Build'!F40),'STR Build'!F40,""))</x:f>
      </x:c>
      <x:c r="S16" s="42" t="str">
        <x:v>STR Build!F40</x:v>
      </x:c>
      <x:c r="T16" s="42" t="str">
        <x:v>Formula</x:v>
      </x:c>
      <x:c r="U16" s="67" t="str">
        <x:f>IF(ISNUMBER(R16),IF(R16=0,"Populated zero","Populated"),"Missing")</x:f>
        <x:v>Missing</x:v>
      </x:c>
      <x:c r="V16" s="67" t="str">
        <x:f>IF(AND(ISNUMBER('Drivers'!$D$12),E16&lt;='Drivers'!$D$12),"Closed: excluded","Open forecast")</x:f>
        <x:v>Open forecast</x:v>
      </x:c>
    </x:row>
    <x:row r="17" ht="22" customHeight="1">
      <x:c r="A17" s="42"/>
      <x:c r="B17" s="42"/>
      <x:c r="C17" s="42" t="str">
        <x:f>IF('Drivers'!$D$5="","",'Drivers'!$D$5)</x:f>
      </x:c>
      <x:c r="D17" s="42" t="str">
        <x:f>IF('Drivers'!$D$4="","",'Drivers'!$D$4)</x:f>
      </x:c>
      <x:c r="E17" s="69" t="n">
        <x:f>'STR Build'!F$6</x:f>
        <x:v>46388</x:v>
      </x:c>
      <x:c r="F17" s="42" t="str">
        <x:f>IF('Drivers'!$D$10="","",'Drivers'!$D$10)</x:f>
        <x:v>Working Draft</x:v>
      </x:c>
      <x:c r="G17" s="42" t="str">
        <x:f>IF('GL Mapping'!I17="",'GL Mapping'!C17,'GL Mapping'!I17)</x:f>
        <x:v>630100</x:v>
      </x:c>
      <x:c r="H17" s="42" t="str">
        <x:v>Utilities</x:v>
      </x:c>
      <x:c r="I17" s="42" t="str">
        <x:f>IF('Drivers'!$D$11="","",'Drivers'!$D$11)</x:f>
        <x:v>Short-Term Rentals</x:v>
      </x:c>
      <x:c r="J17" s="42" t="str">
        <x:f>IF('Drivers'!$D$8="","",'Drivers'!$D$8)</x:f>
        <x:v>USD</x:v>
      </x:c>
      <x:c r="K17" s="42" t="str">
        <x:f>IF('Drivers'!$D$21="","",'Drivers'!$D$21)</x:f>
        <x:v>Calendar</x:v>
      </x:c>
      <x:c r="L17" s="42" t="str">
        <x:f>IF('Drivers'!$D$9="","",'Drivers'!$D$9)</x:f>
        <x:v>Accrual</x:v>
      </x:c>
      <x:c r="M17" s="70" t="str">
        <x:f>IF('Drivers'!$D$12="","",'Drivers'!$D$12)</x:f>
      </x:c>
      <x:c r="N17" s="42" t="str">
        <x:f>IF('Drivers'!$D$15="","",'Drivers'!$D$15)</x:f>
      </x:c>
      <x:c r="O17" s="42" t="str">
        <x:v>expense</x:v>
      </x:c>
      <x:c r="P17" s="42" t="str">
        <x:v>above_noi</x:v>
      </x:c>
      <x:c r="Q17" s="42" t="n">
        <x:v>1</x:v>
      </x:c>
      <x:c r="R17" s="51" t="str">
        <x:f>IF(V17="Closed: excluded","",IF(ISNUMBER('STR Build'!F41),'STR Build'!F41,""))</x:f>
      </x:c>
      <x:c r="S17" s="42" t="str">
        <x:v>STR Build!F41</x:v>
      </x:c>
      <x:c r="T17" s="42" t="str">
        <x:v>Formula</x:v>
      </x:c>
      <x:c r="U17" s="67" t="str">
        <x:f>IF(ISNUMBER(R17),IF(R17=0,"Populated zero","Populated"),"Missing")</x:f>
        <x:v>Missing</x:v>
      </x:c>
      <x:c r="V17" s="67" t="str">
        <x:f>IF(AND(ISNUMBER('Drivers'!$D$12),E17&lt;='Drivers'!$D$12),"Closed: excluded","Open forecast")</x:f>
        <x:v>Open forecast</x:v>
      </x:c>
    </x:row>
    <x:row r="18" ht="22" customHeight="1">
      <x:c r="A18" s="42"/>
      <x:c r="B18" s="42"/>
      <x:c r="C18" s="42" t="str">
        <x:f>IF('Drivers'!$D$5="","",'Drivers'!$D$5)</x:f>
      </x:c>
      <x:c r="D18" s="42" t="str">
        <x:f>IF('Drivers'!$D$4="","",'Drivers'!$D$4)</x:f>
      </x:c>
      <x:c r="E18" s="69" t="n">
        <x:f>'STR Build'!F$6</x:f>
        <x:v>46388</x:v>
      </x:c>
      <x:c r="F18" s="42" t="str">
        <x:f>IF('Drivers'!$D$10="","",'Drivers'!$D$10)</x:f>
        <x:v>Working Draft</x:v>
      </x:c>
      <x:c r="G18" s="42" t="str">
        <x:f>IF('GL Mapping'!I18="",'GL Mapping'!C18,'GL Mapping'!I18)</x:f>
        <x:v>640100</x:v>
      </x:c>
      <x:c r="H18" s="42" t="str">
        <x:v>Contracts</x:v>
      </x:c>
      <x:c r="I18" s="42" t="str">
        <x:f>IF('Drivers'!$D$11="","",'Drivers'!$D$11)</x:f>
        <x:v>Short-Term Rentals</x:v>
      </x:c>
      <x:c r="J18" s="42" t="str">
        <x:f>IF('Drivers'!$D$8="","",'Drivers'!$D$8)</x:f>
        <x:v>USD</x:v>
      </x:c>
      <x:c r="K18" s="42" t="str">
        <x:f>IF('Drivers'!$D$21="","",'Drivers'!$D$21)</x:f>
        <x:v>Calendar</x:v>
      </x:c>
      <x:c r="L18" s="42" t="str">
        <x:f>IF('Drivers'!$D$9="","",'Drivers'!$D$9)</x:f>
        <x:v>Accrual</x:v>
      </x:c>
      <x:c r="M18" s="70" t="str">
        <x:f>IF('Drivers'!$D$12="","",'Drivers'!$D$12)</x:f>
      </x:c>
      <x:c r="N18" s="42" t="str">
        <x:f>IF('Drivers'!$D$15="","",'Drivers'!$D$15)</x:f>
      </x:c>
      <x:c r="O18" s="42" t="str">
        <x:v>expense</x:v>
      </x:c>
      <x:c r="P18" s="42" t="str">
        <x:v>above_noi</x:v>
      </x:c>
      <x:c r="Q18" s="42" t="n">
        <x:v>1</x:v>
      </x:c>
      <x:c r="R18" s="51" t="str">
        <x:f>IF(V18="Closed: excluded","",IF(ISNUMBER('STR Build'!F42),'STR Build'!F42,""))</x:f>
      </x:c>
      <x:c r="S18" s="42" t="str">
        <x:v>STR Build!F42</x:v>
      </x:c>
      <x:c r="T18" s="42" t="str">
        <x:v>Formula</x:v>
      </x:c>
      <x:c r="U18" s="67" t="str">
        <x:f>IF(ISNUMBER(R18),IF(R18=0,"Populated zero","Populated"),"Missing")</x:f>
        <x:v>Missing</x:v>
      </x:c>
      <x:c r="V18" s="67" t="str">
        <x:f>IF(AND(ISNUMBER('Drivers'!$D$12),E18&lt;='Drivers'!$D$12),"Closed: excluded","Open forecast")</x:f>
        <x:v>Open forecast</x:v>
      </x:c>
    </x:row>
    <x:row r="19" ht="22" customHeight="1">
      <x:c r="A19" s="42"/>
      <x:c r="B19" s="42"/>
      <x:c r="C19" s="42" t="str">
        <x:f>IF('Drivers'!$D$5="","",'Drivers'!$D$5)</x:f>
      </x:c>
      <x:c r="D19" s="42" t="str">
        <x:f>IF('Drivers'!$D$4="","",'Drivers'!$D$4)</x:f>
      </x:c>
      <x:c r="E19" s="69" t="n">
        <x:f>'STR Build'!F$6</x:f>
        <x:v>46388</x:v>
      </x:c>
      <x:c r="F19" s="42" t="str">
        <x:f>IF('Drivers'!$D$10="","",'Drivers'!$D$10)</x:f>
        <x:v>Working Draft</x:v>
      </x:c>
      <x:c r="G19" s="42" t="str">
        <x:f>IF('GL Mapping'!I19="",'GL Mapping'!C19,'GL Mapping'!I19)</x:f>
        <x:v>650100</x:v>
      </x:c>
      <x:c r="H19" s="42" t="str">
        <x:v>Marketing</x:v>
      </x:c>
      <x:c r="I19" s="42" t="str">
        <x:f>IF('Drivers'!$D$11="","",'Drivers'!$D$11)</x:f>
        <x:v>Short-Term Rentals</x:v>
      </x:c>
      <x:c r="J19" s="42" t="str">
        <x:f>IF('Drivers'!$D$8="","",'Drivers'!$D$8)</x:f>
        <x:v>USD</x:v>
      </x:c>
      <x:c r="K19" s="42" t="str">
        <x:f>IF('Drivers'!$D$21="","",'Drivers'!$D$21)</x:f>
        <x:v>Calendar</x:v>
      </x:c>
      <x:c r="L19" s="42" t="str">
        <x:f>IF('Drivers'!$D$9="","",'Drivers'!$D$9)</x:f>
        <x:v>Accrual</x:v>
      </x:c>
      <x:c r="M19" s="70" t="str">
        <x:f>IF('Drivers'!$D$12="","",'Drivers'!$D$12)</x:f>
      </x:c>
      <x:c r="N19" s="42" t="str">
        <x:f>IF('Drivers'!$D$15="","",'Drivers'!$D$15)</x:f>
      </x:c>
      <x:c r="O19" s="42" t="str">
        <x:v>expense</x:v>
      </x:c>
      <x:c r="P19" s="42" t="str">
        <x:v>above_noi</x:v>
      </x:c>
      <x:c r="Q19" s="42" t="n">
        <x:v>1</x:v>
      </x:c>
      <x:c r="R19" s="51" t="str">
        <x:f>IF(V19="Closed: excluded","",IF(ISNUMBER('STR Build'!F43),'STR Build'!F43,""))</x:f>
      </x:c>
      <x:c r="S19" s="42" t="str">
        <x:v>STR Build!F43</x:v>
      </x:c>
      <x:c r="T19" s="42" t="str">
        <x:v>Formula</x:v>
      </x:c>
      <x:c r="U19" s="67" t="str">
        <x:f>IF(ISNUMBER(R19),IF(R19=0,"Populated zero","Populated"),"Missing")</x:f>
        <x:v>Missing</x:v>
      </x:c>
      <x:c r="V19" s="67" t="str">
        <x:f>IF(AND(ISNUMBER('Drivers'!$D$12),E19&lt;='Drivers'!$D$12),"Closed: excluded","Open forecast")</x:f>
        <x:v>Open forecast</x:v>
      </x:c>
    </x:row>
    <x:row r="20" ht="22" customHeight="1">
      <x:c r="A20" s="42"/>
      <x:c r="B20" s="42"/>
      <x:c r="C20" s="42" t="str">
        <x:f>IF('Drivers'!$D$5="","",'Drivers'!$D$5)</x:f>
      </x:c>
      <x:c r="D20" s="42" t="str">
        <x:f>IF('Drivers'!$D$4="","",'Drivers'!$D$4)</x:f>
      </x:c>
      <x:c r="E20" s="69" t="n">
        <x:f>'STR Build'!F$6</x:f>
        <x:v>46388</x:v>
      </x:c>
      <x:c r="F20" s="42" t="str">
        <x:f>IF('Drivers'!$D$10="","",'Drivers'!$D$10)</x:f>
        <x:v>Working Draft</x:v>
      </x:c>
      <x:c r="G20" s="42" t="str">
        <x:f>IF('GL Mapping'!I20="",'GL Mapping'!C20,'GL Mapping'!I20)</x:f>
        <x:v>660100</x:v>
      </x:c>
      <x:c r="H20" s="42" t="str">
        <x:v>Maintenance</x:v>
      </x:c>
      <x:c r="I20" s="42" t="str">
        <x:f>IF('Drivers'!$D$11="","",'Drivers'!$D$11)</x:f>
        <x:v>Short-Term Rentals</x:v>
      </x:c>
      <x:c r="J20" s="42" t="str">
        <x:f>IF('Drivers'!$D$8="","",'Drivers'!$D$8)</x:f>
        <x:v>USD</x:v>
      </x:c>
      <x:c r="K20" s="42" t="str">
        <x:f>IF('Drivers'!$D$21="","",'Drivers'!$D$21)</x:f>
        <x:v>Calendar</x:v>
      </x:c>
      <x:c r="L20" s="42" t="str">
        <x:f>IF('Drivers'!$D$9="","",'Drivers'!$D$9)</x:f>
        <x:v>Accrual</x:v>
      </x:c>
      <x:c r="M20" s="70" t="str">
        <x:f>IF('Drivers'!$D$12="","",'Drivers'!$D$12)</x:f>
      </x:c>
      <x:c r="N20" s="42" t="str">
        <x:f>IF('Drivers'!$D$15="","",'Drivers'!$D$15)</x:f>
      </x:c>
      <x:c r="O20" s="42" t="str">
        <x:v>expense</x:v>
      </x:c>
      <x:c r="P20" s="42" t="str">
        <x:v>above_noi</x:v>
      </x:c>
      <x:c r="Q20" s="42" t="n">
        <x:v>1</x:v>
      </x:c>
      <x:c r="R20" s="51" t="str">
        <x:f>IF(V20="Closed: excluded","",IF(ISNUMBER('STR Build'!F44),'STR Build'!F44,""))</x:f>
      </x:c>
      <x:c r="S20" s="42" t="str">
        <x:v>STR Build!F44</x:v>
      </x:c>
      <x:c r="T20" s="42" t="str">
        <x:v>Formula</x:v>
      </x:c>
      <x:c r="U20" s="67" t="str">
        <x:f>IF(ISNUMBER(R20),IF(R20=0,"Populated zero","Populated"),"Missing")</x:f>
        <x:v>Missing</x:v>
      </x:c>
      <x:c r="V20" s="67" t="str">
        <x:f>IF(AND(ISNUMBER('Drivers'!$D$12),E20&lt;='Drivers'!$D$12),"Closed: excluded","Open forecast")</x:f>
        <x:v>Open forecast</x:v>
      </x:c>
    </x:row>
    <x:row r="21" ht="22" customHeight="1">
      <x:c r="A21" s="42"/>
      <x:c r="B21" s="42"/>
      <x:c r="C21" s="42" t="str">
        <x:f>IF('Drivers'!$D$5="","",'Drivers'!$D$5)</x:f>
      </x:c>
      <x:c r="D21" s="42" t="str">
        <x:f>IF('Drivers'!$D$4="","",'Drivers'!$D$4)</x:f>
      </x:c>
      <x:c r="E21" s="69" t="n">
        <x:f>'STR Build'!F$6</x:f>
        <x:v>46388</x:v>
      </x:c>
      <x:c r="F21" s="42" t="str">
        <x:f>IF('Drivers'!$D$10="","",'Drivers'!$D$10)</x:f>
        <x:v>Working Draft</x:v>
      </x:c>
      <x:c r="G21" s="42" t="str">
        <x:f>IF('GL Mapping'!I21="",'GL Mapping'!C21,'GL Mapping'!I21)</x:f>
        <x:v>670100</x:v>
      </x:c>
      <x:c r="H21" s="42" t="str">
        <x:v>Insurance</x:v>
      </x:c>
      <x:c r="I21" s="42" t="str">
        <x:f>IF('Drivers'!$D$11="","",'Drivers'!$D$11)</x:f>
        <x:v>Short-Term Rentals</x:v>
      </x:c>
      <x:c r="J21" s="42" t="str">
        <x:f>IF('Drivers'!$D$8="","",'Drivers'!$D$8)</x:f>
        <x:v>USD</x:v>
      </x:c>
      <x:c r="K21" s="42" t="str">
        <x:f>IF('Drivers'!$D$21="","",'Drivers'!$D$21)</x:f>
        <x:v>Calendar</x:v>
      </x:c>
      <x:c r="L21" s="42" t="str">
        <x:f>IF('Drivers'!$D$9="","",'Drivers'!$D$9)</x:f>
        <x:v>Accrual</x:v>
      </x:c>
      <x:c r="M21" s="70" t="str">
        <x:f>IF('Drivers'!$D$12="","",'Drivers'!$D$12)</x:f>
      </x:c>
      <x:c r="N21" s="42" t="str">
        <x:f>IF('Drivers'!$D$15="","",'Drivers'!$D$15)</x:f>
      </x:c>
      <x:c r="O21" s="42" t="str">
        <x:v>expense</x:v>
      </x:c>
      <x:c r="P21" s="42" t="str">
        <x:v>above_noi</x:v>
      </x:c>
      <x:c r="Q21" s="42" t="n">
        <x:v>1</x:v>
      </x:c>
      <x:c r="R21" s="51" t="str">
        <x:f>IF(V21="Closed: excluded","",IF(ISNUMBER('STR Build'!F45),'STR Build'!F45,""))</x:f>
      </x:c>
      <x:c r="S21" s="42" t="str">
        <x:v>STR Build!F45</x:v>
      </x:c>
      <x:c r="T21" s="42" t="str">
        <x:v>Formula</x:v>
      </x:c>
      <x:c r="U21" s="67" t="str">
        <x:f>IF(ISNUMBER(R21),IF(R21=0,"Populated zero","Populated"),"Missing")</x:f>
        <x:v>Missing</x:v>
      </x:c>
      <x:c r="V21" s="67" t="str">
        <x:f>IF(AND(ISNUMBER('Drivers'!$D$12),E21&lt;='Drivers'!$D$12),"Closed: excluded","Open forecast")</x:f>
        <x:v>Open forecast</x:v>
      </x:c>
    </x:row>
    <x:row r="22" ht="22" customHeight="1">
      <x:c r="A22" s="42"/>
      <x:c r="B22" s="42"/>
      <x:c r="C22" s="42" t="str">
        <x:f>IF('Drivers'!$D$5="","",'Drivers'!$D$5)</x:f>
      </x:c>
      <x:c r="D22" s="42" t="str">
        <x:f>IF('Drivers'!$D$4="","",'Drivers'!$D$4)</x:f>
      </x:c>
      <x:c r="E22" s="69" t="n">
        <x:f>'STR Build'!F$6</x:f>
        <x:v>46388</x:v>
      </x:c>
      <x:c r="F22" s="42" t="str">
        <x:f>IF('Drivers'!$D$10="","",'Drivers'!$D$10)</x:f>
        <x:v>Working Draft</x:v>
      </x:c>
      <x:c r="G22" s="42" t="str">
        <x:f>IF('GL Mapping'!I22="",'GL Mapping'!C22,'GL Mapping'!I22)</x:f>
        <x:v>680100</x:v>
      </x:c>
      <x:c r="H22" s="42" t="str">
        <x:v>Property taxes</x:v>
      </x:c>
      <x:c r="I22" s="42" t="str">
        <x:f>IF('Drivers'!$D$11="","",'Drivers'!$D$11)</x:f>
        <x:v>Short-Term Rentals</x:v>
      </x:c>
      <x:c r="J22" s="42" t="str">
        <x:f>IF('Drivers'!$D$8="","",'Drivers'!$D$8)</x:f>
        <x:v>USD</x:v>
      </x:c>
      <x:c r="K22" s="42" t="str">
        <x:f>IF('Drivers'!$D$21="","",'Drivers'!$D$21)</x:f>
        <x:v>Calendar</x:v>
      </x:c>
      <x:c r="L22" s="42" t="str">
        <x:f>IF('Drivers'!$D$9="","",'Drivers'!$D$9)</x:f>
        <x:v>Accrual</x:v>
      </x:c>
      <x:c r="M22" s="70" t="str">
        <x:f>IF('Drivers'!$D$12="","",'Drivers'!$D$12)</x:f>
      </x:c>
      <x:c r="N22" s="42" t="str">
        <x:f>IF('Drivers'!$D$15="","",'Drivers'!$D$15)</x:f>
      </x:c>
      <x:c r="O22" s="42" t="str">
        <x:v>expense</x:v>
      </x:c>
      <x:c r="P22" s="42" t="str">
        <x:v>above_noi</x:v>
      </x:c>
      <x:c r="Q22" s="42" t="n">
        <x:v>1</x:v>
      </x:c>
      <x:c r="R22" s="51" t="str">
        <x:f>IF(V22="Closed: excluded","",IF(ISNUMBER('STR Build'!F46),'STR Build'!F46,""))</x:f>
      </x:c>
      <x:c r="S22" s="42" t="str">
        <x:v>STR Build!F46</x:v>
      </x:c>
      <x:c r="T22" s="42" t="str">
        <x:v>Formula</x:v>
      </x:c>
      <x:c r="U22" s="67" t="str">
        <x:f>IF(ISNUMBER(R22),IF(R22=0,"Populated zero","Populated"),"Missing")</x:f>
        <x:v>Missing</x:v>
      </x:c>
      <x:c r="V22" s="67" t="str">
        <x:f>IF(AND(ISNUMBER('Drivers'!$D$12),E22&lt;='Drivers'!$D$12),"Closed: excluded","Open forecast")</x:f>
        <x:v>Open forecast</x:v>
      </x:c>
    </x:row>
    <x:row r="23" ht="22" customHeight="1">
      <x:c r="A23" s="42"/>
      <x:c r="B23" s="42"/>
      <x:c r="C23" s="42" t="str">
        <x:f>IF('Drivers'!$D$5="","",'Drivers'!$D$5)</x:f>
      </x:c>
      <x:c r="D23" s="42" t="str">
        <x:f>IF('Drivers'!$D$4="","",'Drivers'!$D$4)</x:f>
      </x:c>
      <x:c r="E23" s="69" t="n">
        <x:f>'STR Build'!F$6</x:f>
        <x:v>46388</x:v>
      </x:c>
      <x:c r="F23" s="42" t="str">
        <x:f>IF('Drivers'!$D$10="","",'Drivers'!$D$10)</x:f>
        <x:v>Working Draft</x:v>
      </x:c>
      <x:c r="G23" s="42" t="str">
        <x:f>IF('GL Mapping'!I23="",'GL Mapping'!C23,'GL Mapping'!I23)</x:f>
        <x:v>690100</x:v>
      </x:c>
      <x:c r="H23" s="42" t="str">
        <x:v>Other operating expenses</x:v>
      </x:c>
      <x:c r="I23" s="42" t="str">
        <x:f>IF('Drivers'!$D$11="","",'Drivers'!$D$11)</x:f>
        <x:v>Short-Term Rentals</x:v>
      </x:c>
      <x:c r="J23" s="42" t="str">
        <x:f>IF('Drivers'!$D$8="","",'Drivers'!$D$8)</x:f>
        <x:v>USD</x:v>
      </x:c>
      <x:c r="K23" s="42" t="str">
        <x:f>IF('Drivers'!$D$21="","",'Drivers'!$D$21)</x:f>
        <x:v>Calendar</x:v>
      </x:c>
      <x:c r="L23" s="42" t="str">
        <x:f>IF('Drivers'!$D$9="","",'Drivers'!$D$9)</x:f>
        <x:v>Accrual</x:v>
      </x:c>
      <x:c r="M23" s="70" t="str">
        <x:f>IF('Drivers'!$D$12="","",'Drivers'!$D$12)</x:f>
      </x:c>
      <x:c r="N23" s="42" t="str">
        <x:f>IF('Drivers'!$D$15="","",'Drivers'!$D$15)</x:f>
      </x:c>
      <x:c r="O23" s="42" t="str">
        <x:v>expense</x:v>
      </x:c>
      <x:c r="P23" s="42" t="str">
        <x:v>above_noi</x:v>
      </x:c>
      <x:c r="Q23" s="42" t="n">
        <x:v>1</x:v>
      </x:c>
      <x:c r="R23" s="51" t="str">
        <x:f>IF(V23="Closed: excluded","",IF(ISNUMBER('STR Build'!F47),'STR Build'!F47,""))</x:f>
      </x:c>
      <x:c r="S23" s="42" t="str">
        <x:v>STR Build!F47</x:v>
      </x:c>
      <x:c r="T23" s="42" t="str">
        <x:v>Formula</x:v>
      </x:c>
      <x:c r="U23" s="67" t="str">
        <x:f>IF(ISNUMBER(R23),IF(R23=0,"Populated zero","Populated"),"Missing")</x:f>
        <x:v>Missing</x:v>
      </x:c>
      <x:c r="V23" s="67" t="str">
        <x:f>IF(AND(ISNUMBER('Drivers'!$D$12),E23&lt;='Drivers'!$D$12),"Closed: excluded","Open forecast")</x:f>
        <x:v>Open forecast</x:v>
      </x:c>
    </x:row>
    <x:row r="24" ht="22" customHeight="1">
      <x:c r="A24" s="42"/>
      <x:c r="B24" s="42"/>
      <x:c r="C24" s="42" t="str">
        <x:f>IF('Drivers'!$D$5="","",'Drivers'!$D$5)</x:f>
      </x:c>
      <x:c r="D24" s="42" t="str">
        <x:f>IF('Drivers'!$D$4="","",'Drivers'!$D$4)</x:f>
      </x:c>
      <x:c r="E24" s="69" t="n">
        <x:f>'STR Build'!F$6</x:f>
        <x:v>46388</x:v>
      </x:c>
      <x:c r="F24" s="42" t="str">
        <x:f>IF('Drivers'!$D$10="","",'Drivers'!$D$10)</x:f>
        <x:v>Working Draft</x:v>
      </x:c>
      <x:c r="G24" s="42" t="str">
        <x:f>IF('GL Mapping'!I24="",'GL Mapping'!C24,'GL Mapping'!I24)</x:f>
        <x:v>710100</x:v>
      </x:c>
      <x:c r="H24" s="42" t="str">
        <x:v>Other below-NOI cash costs</x:v>
      </x:c>
      <x:c r="I24" s="42" t="str">
        <x:f>IF('Drivers'!$D$11="","",'Drivers'!$D$11)</x:f>
        <x:v>Short-Term Rentals</x:v>
      </x:c>
      <x:c r="J24" s="42" t="str">
        <x:f>IF('Drivers'!$D$8="","",'Drivers'!$D$8)</x:f>
        <x:v>USD</x:v>
      </x:c>
      <x:c r="K24" s="42" t="str">
        <x:f>IF('Drivers'!$D$21="","",'Drivers'!$D$21)</x:f>
        <x:v>Calendar</x:v>
      </x:c>
      <x:c r="L24" s="42" t="str">
        <x:f>IF('Drivers'!$D$9="","",'Drivers'!$D$9)</x:f>
        <x:v>Accrual</x:v>
      </x:c>
      <x:c r="M24" s="70" t="str">
        <x:f>IF('Drivers'!$D$12="","",'Drivers'!$D$12)</x:f>
      </x:c>
      <x:c r="N24" s="42" t="str">
        <x:f>IF('Drivers'!$D$15="","",'Drivers'!$D$15)</x:f>
      </x:c>
      <x:c r="O24" s="42" t="str">
        <x:v>below_noi</x:v>
      </x:c>
      <x:c r="P24" s="42" t="str">
        <x:v>below_noi</x:v>
      </x:c>
      <x:c r="Q24" s="42" t="n">
        <x:v>1</x:v>
      </x:c>
      <x:c r="R24" s="51" t="str">
        <x:f>IF(V24="Closed: excluded","",IF(ISNUMBER('STR Build'!F55),'STR Build'!F55,""))</x:f>
      </x:c>
      <x:c r="S24" s="42" t="str">
        <x:v>STR Build!F55</x:v>
      </x:c>
      <x:c r="T24" s="42" t="str">
        <x:v>Formula</x:v>
      </x:c>
      <x:c r="U24" s="67" t="str">
        <x:f>IF(ISNUMBER(R24),IF(R24=0,"Populated zero","Populated"),"Missing")</x:f>
        <x:v>Missing</x:v>
      </x:c>
      <x:c r="V24" s="67" t="str">
        <x:f>IF(AND(ISNUMBER('Drivers'!$D$12),E24&lt;='Drivers'!$D$12),"Closed: excluded","Open forecast")</x:f>
        <x:v>Open forecast</x:v>
      </x:c>
    </x:row>
    <x:row r="25" ht="22" customHeight="1">
      <x:c r="A25" s="42"/>
      <x:c r="B25" s="42"/>
      <x:c r="C25" s="42" t="str">
        <x:f>IF('Drivers'!$D$5="","",'Drivers'!$D$5)</x:f>
      </x:c>
      <x:c r="D25" s="42" t="str">
        <x:f>IF('Drivers'!$D$4="","",'Drivers'!$D$4)</x:f>
      </x:c>
      <x:c r="E25" s="69" t="n">
        <x:f>'STR Build'!F$6</x:f>
        <x:v>46388</x:v>
      </x:c>
      <x:c r="F25" s="42" t="str">
        <x:f>IF('Drivers'!$D$10="","",'Drivers'!$D$10)</x:f>
        <x:v>Working Draft</x:v>
      </x:c>
      <x:c r="G25" s="42" t="str">
        <x:f>IF('GL Mapping'!I25="",'GL Mapping'!C25,'GL Mapping'!I25)</x:f>
        <x:v>720100</x:v>
      </x:c>
      <x:c r="H25" s="42" t="str">
        <x:v>Debt interest</x:v>
      </x:c>
      <x:c r="I25" s="42" t="str">
        <x:f>IF('Drivers'!$D$11="","",'Drivers'!$D$11)</x:f>
        <x:v>Short-Term Rentals</x:v>
      </x:c>
      <x:c r="J25" s="42" t="str">
        <x:f>IF('Drivers'!$D$8="","",'Drivers'!$D$8)</x:f>
        <x:v>USD</x:v>
      </x:c>
      <x:c r="K25" s="42" t="str">
        <x:f>IF('Drivers'!$D$21="","",'Drivers'!$D$21)</x:f>
        <x:v>Calendar</x:v>
      </x:c>
      <x:c r="L25" s="42" t="str">
        <x:f>IF('Drivers'!$D$9="","",'Drivers'!$D$9)</x:f>
        <x:v>Accrual</x:v>
      </x:c>
      <x:c r="M25" s="70" t="str">
        <x:f>IF('Drivers'!$D$12="","",'Drivers'!$D$12)</x:f>
      </x:c>
      <x:c r="N25" s="42" t="str">
        <x:f>IF('Drivers'!$D$15="","",'Drivers'!$D$15)</x:f>
      </x:c>
      <x:c r="O25" s="42" t="str">
        <x:v>debt</x:v>
      </x:c>
      <x:c r="P25" s="42" t="str">
        <x:v>below_noi</x:v>
      </x:c>
      <x:c r="Q25" s="42" t="n">
        <x:v>1</x:v>
      </x:c>
      <x:c r="R25" s="51" t="str">
        <x:f>IF(V25="Closed: excluded","",IF(ISNUMBER('STR Build'!F56),'STR Build'!F56,""))</x:f>
      </x:c>
      <x:c r="S25" s="42" t="str">
        <x:v>STR Build!F56</x:v>
      </x:c>
      <x:c r="T25" s="42" t="str">
        <x:v>Formula</x:v>
      </x:c>
      <x:c r="U25" s="67" t="str">
        <x:f>IF(ISNUMBER(R25),IF(R25=0,"Populated zero","Populated"),"Missing")</x:f>
        <x:v>Missing</x:v>
      </x:c>
      <x:c r="V25" s="67" t="str">
        <x:f>IF(AND(ISNUMBER('Drivers'!$D$12),E25&lt;='Drivers'!$D$12),"Closed: excluded","Open forecast")</x:f>
        <x:v>Open forecast</x:v>
      </x:c>
    </x:row>
    <x:row r="26" ht="22" customHeight="1">
      <x:c r="A26" s="42"/>
      <x:c r="B26" s="42"/>
      <x:c r="C26" s="42" t="str">
        <x:f>IF('Drivers'!$D$5="","",'Drivers'!$D$5)</x:f>
      </x:c>
      <x:c r="D26" s="42" t="str">
        <x:f>IF('Drivers'!$D$4="","",'Drivers'!$D$4)</x:f>
      </x:c>
      <x:c r="E26" s="69" t="n">
        <x:f>'STR Build'!F$6</x:f>
        <x:v>46388</x:v>
      </x:c>
      <x:c r="F26" s="42" t="str">
        <x:f>IF('Drivers'!$D$10="","",'Drivers'!$D$10)</x:f>
        <x:v>Working Draft</x:v>
      </x:c>
      <x:c r="G26" s="42" t="str">
        <x:f>IF('GL Mapping'!I26="",'GL Mapping'!C26,'GL Mapping'!I26)</x:f>
        <x:v>720200</x:v>
      </x:c>
      <x:c r="H26" s="42" t="str">
        <x:v>Debt principal</x:v>
      </x:c>
      <x:c r="I26" s="42" t="str">
        <x:f>IF('Drivers'!$D$11="","",'Drivers'!$D$11)</x:f>
        <x:v>Short-Term Rentals</x:v>
      </x:c>
      <x:c r="J26" s="42" t="str">
        <x:f>IF('Drivers'!$D$8="","",'Drivers'!$D$8)</x:f>
        <x:v>USD</x:v>
      </x:c>
      <x:c r="K26" s="42" t="str">
        <x:f>IF('Drivers'!$D$21="","",'Drivers'!$D$21)</x:f>
        <x:v>Calendar</x:v>
      </x:c>
      <x:c r="L26" s="42" t="str">
        <x:f>IF('Drivers'!$D$9="","",'Drivers'!$D$9)</x:f>
        <x:v>Accrual</x:v>
      </x:c>
      <x:c r="M26" s="70" t="str">
        <x:f>IF('Drivers'!$D$12="","",'Drivers'!$D$12)</x:f>
      </x:c>
      <x:c r="N26" s="42" t="str">
        <x:f>IF('Drivers'!$D$15="","",'Drivers'!$D$15)</x:f>
      </x:c>
      <x:c r="O26" s="42" t="str">
        <x:v>debt</x:v>
      </x:c>
      <x:c r="P26" s="42" t="str">
        <x:v>below_noi</x:v>
      </x:c>
      <x:c r="Q26" s="42" t="n">
        <x:v>1</x:v>
      </x:c>
      <x:c r="R26" s="51" t="str">
        <x:f>IF(V26="Closed: excluded","",IF(ISNUMBER('STR Build'!F57),'STR Build'!F57,""))</x:f>
      </x:c>
      <x:c r="S26" s="42" t="str">
        <x:v>STR Build!F57</x:v>
      </x:c>
      <x:c r="T26" s="42" t="str">
        <x:v>Formula</x:v>
      </x:c>
      <x:c r="U26" s="67" t="str">
        <x:f>IF(ISNUMBER(R26),IF(R26=0,"Populated zero","Populated"),"Missing")</x:f>
        <x:v>Missing</x:v>
      </x:c>
      <x:c r="V26" s="67" t="str">
        <x:f>IF(AND(ISNUMBER('Drivers'!$D$12),E26&lt;='Drivers'!$D$12),"Closed: excluded","Open forecast")</x:f>
        <x:v>Open forecast</x:v>
      </x:c>
    </x:row>
    <x:row r="27" ht="22" customHeight="1">
      <x:c r="A27" s="42"/>
      <x:c r="B27" s="42"/>
      <x:c r="C27" s="42" t="str">
        <x:f>IF('Drivers'!$D$5="","",'Drivers'!$D$5)</x:f>
      </x:c>
      <x:c r="D27" s="42" t="str">
        <x:f>IF('Drivers'!$D$4="","",'Drivers'!$D$4)</x:f>
      </x:c>
      <x:c r="E27" s="69" t="n">
        <x:f>'STR Build'!F$6</x:f>
        <x:v>46388</x:v>
      </x:c>
      <x:c r="F27" s="42" t="str">
        <x:f>IF('Drivers'!$D$10="","",'Drivers'!$D$10)</x:f>
        <x:v>Working Draft</x:v>
      </x:c>
      <x:c r="G27" s="42" t="str">
        <x:f>IF('GL Mapping'!I27="",'GL Mapping'!C27,'GL Mapping'!I27)</x:f>
        <x:v>730100</x:v>
      </x:c>
      <x:c r="H27" s="42" t="str">
        <x:v>Capital expenditure</x:v>
      </x:c>
      <x:c r="I27" s="42" t="str">
        <x:f>IF('Drivers'!$D$11="","",'Drivers'!$D$11)</x:f>
        <x:v>Short-Term Rentals</x:v>
      </x:c>
      <x:c r="J27" s="42" t="str">
        <x:f>IF('Drivers'!$D$8="","",'Drivers'!$D$8)</x:f>
        <x:v>USD</x:v>
      </x:c>
      <x:c r="K27" s="42" t="str">
        <x:f>IF('Drivers'!$D$21="","",'Drivers'!$D$21)</x:f>
        <x:v>Calendar</x:v>
      </x:c>
      <x:c r="L27" s="42" t="str">
        <x:f>IF('Drivers'!$D$9="","",'Drivers'!$D$9)</x:f>
        <x:v>Accrual</x:v>
      </x:c>
      <x:c r="M27" s="70" t="str">
        <x:f>IF('Drivers'!$D$12="","",'Drivers'!$D$12)</x:f>
      </x:c>
      <x:c r="N27" s="42" t="str">
        <x:f>IF('Drivers'!$D$15="","",'Drivers'!$D$15)</x:f>
      </x:c>
      <x:c r="O27" s="42" t="str">
        <x:v>capital</x:v>
      </x:c>
      <x:c r="P27" s="42" t="str">
        <x:v>below_noi</x:v>
      </x:c>
      <x:c r="Q27" s="42" t="n">
        <x:v>1</x:v>
      </x:c>
      <x:c r="R27" s="51" t="str">
        <x:f>IF(V27="Closed: excluded","",IF(ISNUMBER('STR Build'!F58),'STR Build'!F58,""))</x:f>
      </x:c>
      <x:c r="S27" s="42" t="str">
        <x:v>STR Build!F58</x:v>
      </x:c>
      <x:c r="T27" s="42" t="str">
        <x:v>Formula</x:v>
      </x:c>
      <x:c r="U27" s="67" t="str">
        <x:f>IF(ISNUMBER(R27),IF(R27=0,"Populated zero","Populated"),"Missing")</x:f>
        <x:v>Missing</x:v>
      </x:c>
      <x:c r="V27" s="67" t="str">
        <x:f>IF(AND(ISNUMBER('Drivers'!$D$12),E27&lt;='Drivers'!$D$12),"Closed: excluded","Open forecast")</x:f>
        <x:v>Open forecast</x:v>
      </x:c>
    </x:row>
    <x:row r="28" ht="22" customHeight="1">
      <x:c r="A28" s="42"/>
      <x:c r="B28" s="42"/>
      <x:c r="C28" s="42" t="str">
        <x:f>IF('Drivers'!$D$5="","",'Drivers'!$D$5)</x:f>
      </x:c>
      <x:c r="D28" s="42" t="str">
        <x:f>IF('Drivers'!$D$4="","",'Drivers'!$D$4)</x:f>
      </x:c>
      <x:c r="E28" s="69" t="n">
        <x:f>'STR Build'!F$6</x:f>
        <x:v>46388</x:v>
      </x:c>
      <x:c r="F28" s="42" t="str">
        <x:f>IF('Drivers'!$D$10="","",'Drivers'!$D$10)</x:f>
        <x:v>Working Draft</x:v>
      </x:c>
      <x:c r="G28" s="42" t="str">
        <x:f>IF('GL Mapping'!I28="",'GL Mapping'!C28,'GL Mapping'!I28)</x:f>
        <x:v>740100</x:v>
      </x:c>
      <x:c r="H28" s="42" t="str">
        <x:v>Working-capital cash use</x:v>
      </x:c>
      <x:c r="I28" s="42" t="str">
        <x:f>IF('Drivers'!$D$11="","",'Drivers'!$D$11)</x:f>
        <x:v>Short-Term Rentals</x:v>
      </x:c>
      <x:c r="J28" s="42" t="str">
        <x:f>IF('Drivers'!$D$8="","",'Drivers'!$D$8)</x:f>
        <x:v>USD</x:v>
      </x:c>
      <x:c r="K28" s="42" t="str">
        <x:f>IF('Drivers'!$D$21="","",'Drivers'!$D$21)</x:f>
        <x:v>Calendar</x:v>
      </x:c>
      <x:c r="L28" s="42" t="str">
        <x:f>IF('Drivers'!$D$9="","",'Drivers'!$D$9)</x:f>
        <x:v>Accrual</x:v>
      </x:c>
      <x:c r="M28" s="70" t="str">
        <x:f>IF('Drivers'!$D$12="","",'Drivers'!$D$12)</x:f>
      </x:c>
      <x:c r="N28" s="42" t="str">
        <x:f>IF('Drivers'!$D$15="","",'Drivers'!$D$15)</x:f>
      </x:c>
      <x:c r="O28" s="42" t="str">
        <x:v>below_noi</x:v>
      </x:c>
      <x:c r="P28" s="42" t="str">
        <x:v>below_noi</x:v>
      </x:c>
      <x:c r="Q28" s="42" t="n">
        <x:v>1</x:v>
      </x:c>
      <x:c r="R28" s="51" t="str">
        <x:f>IF(V28="Closed: excluded","",IF(ISNUMBER('STR Build'!F59),'STR Build'!F59,""))</x:f>
      </x:c>
      <x:c r="S28" s="42" t="str">
        <x:v>STR Build!F59</x:v>
      </x:c>
      <x:c r="T28" s="42" t="str">
        <x:v>Formula</x:v>
      </x:c>
      <x:c r="U28" s="67" t="str">
        <x:f>IF(ISNUMBER(R28),IF(R28=0,"Populated zero","Populated"),"Missing")</x:f>
        <x:v>Missing</x:v>
      </x:c>
      <x:c r="V28" s="67" t="str">
        <x:f>IF(AND(ISNUMBER('Drivers'!$D$12),E28&lt;='Drivers'!$D$12),"Closed: excluded","Open forecast")</x:f>
        <x:v>Open forecast</x:v>
      </x:c>
    </x:row>
    <x:row r="29" ht="22" customHeight="1">
      <x:c r="A29" s="42"/>
      <x:c r="B29" s="42"/>
      <x:c r="C29" s="42" t="str">
        <x:f>IF('Drivers'!$D$5="","",'Drivers'!$D$5)</x:f>
      </x:c>
      <x:c r="D29" s="42" t="str">
        <x:f>IF('Drivers'!$D$4="","",'Drivers'!$D$4)</x:f>
      </x:c>
      <x:c r="E29" s="69" t="n">
        <x:f>'STR Build'!G$6</x:f>
        <x:v>46419</x:v>
      </x:c>
      <x:c r="F29" s="42" t="str">
        <x:f>IF('Drivers'!$D$10="","",'Drivers'!$D$10)</x:f>
        <x:v>Working Draft</x:v>
      </x:c>
      <x:c r="G29" s="42" t="str">
        <x:f>IF('GL Mapping'!I7="",'GL Mapping'!C7,'GL Mapping'!I7)</x:f>
        <x:v>410100</x:v>
      </x:c>
      <x:c r="H29" s="42" t="str">
        <x:v>Lodging revenue</x:v>
      </x:c>
      <x:c r="I29" s="42" t="str">
        <x:f>IF('Drivers'!$D$11="","",'Drivers'!$D$11)</x:f>
        <x:v>Short-Term Rentals</x:v>
      </x:c>
      <x:c r="J29" s="42" t="str">
        <x:f>IF('Drivers'!$D$8="","",'Drivers'!$D$8)</x:f>
        <x:v>USD</x:v>
      </x:c>
      <x:c r="K29" s="42" t="str">
        <x:f>IF('Drivers'!$D$21="","",'Drivers'!$D$21)</x:f>
        <x:v>Calendar</x:v>
      </x:c>
      <x:c r="L29" s="42" t="str">
        <x:f>IF('Drivers'!$D$9="","",'Drivers'!$D$9)</x:f>
        <x:v>Accrual</x:v>
      </x:c>
      <x:c r="M29" s="70" t="str">
        <x:f>IF('Drivers'!$D$12="","",'Drivers'!$D$12)</x:f>
      </x:c>
      <x:c r="N29" s="42" t="str">
        <x:f>IF('Drivers'!$D$15="","",'Drivers'!$D$15)</x:f>
      </x:c>
      <x:c r="O29" s="42" t="str">
        <x:v>income</x:v>
      </x:c>
      <x:c r="P29" s="42" t="str">
        <x:v>above_noi</x:v>
      </x:c>
      <x:c r="Q29" s="42" t="n">
        <x:v>1</x:v>
      </x:c>
      <x:c r="R29" s="51" t="str">
        <x:f>IF(V29="Closed: excluded","",IF(ISNUMBER('STR Build'!G28),'STR Build'!G28,""))</x:f>
      </x:c>
      <x:c r="S29" s="42" t="str">
        <x:v>STR Build!G28</x:v>
      </x:c>
      <x:c r="T29" s="42" t="str">
        <x:v>Formula</x:v>
      </x:c>
      <x:c r="U29" s="67" t="str">
        <x:f>IF(ISNUMBER(R29),IF(R29=0,"Populated zero","Populated"),"Missing")</x:f>
        <x:v>Missing</x:v>
      </x:c>
      <x:c r="V29" s="67" t="str">
        <x:f>IF(AND(ISNUMBER('Drivers'!$D$12),E29&lt;='Drivers'!$D$12),"Closed: excluded","Open forecast")</x:f>
        <x:v>Open forecast</x:v>
      </x:c>
    </x:row>
    <x:row r="30" ht="22" customHeight="1">
      <x:c r="A30" s="42"/>
      <x:c r="B30" s="42"/>
      <x:c r="C30" s="42" t="str">
        <x:f>IF('Drivers'!$D$5="","",'Drivers'!$D$5)</x:f>
      </x:c>
      <x:c r="D30" s="42" t="str">
        <x:f>IF('Drivers'!$D$4="","",'Drivers'!$D$4)</x:f>
      </x:c>
      <x:c r="E30" s="69" t="n">
        <x:f>'STR Build'!G$6</x:f>
        <x:v>46419</x:v>
      </x:c>
      <x:c r="F30" s="42" t="str">
        <x:f>IF('Drivers'!$D$10="","",'Drivers'!$D$10)</x:f>
        <x:v>Working Draft</x:v>
      </x:c>
      <x:c r="G30" s="42" t="str">
        <x:f>IF('GL Mapping'!I8="",'GL Mapping'!C8,'GL Mapping'!I8)</x:f>
        <x:v>410200</x:v>
      </x:c>
      <x:c r="H30" s="42" t="str">
        <x:v>Cleaning fee income</x:v>
      </x:c>
      <x:c r="I30" s="42" t="str">
        <x:f>IF('Drivers'!$D$11="","",'Drivers'!$D$11)</x:f>
        <x:v>Short-Term Rentals</x:v>
      </x:c>
      <x:c r="J30" s="42" t="str">
        <x:f>IF('Drivers'!$D$8="","",'Drivers'!$D$8)</x:f>
        <x:v>USD</x:v>
      </x:c>
      <x:c r="K30" s="42" t="str">
        <x:f>IF('Drivers'!$D$21="","",'Drivers'!$D$21)</x:f>
        <x:v>Calendar</x:v>
      </x:c>
      <x:c r="L30" s="42" t="str">
        <x:f>IF('Drivers'!$D$9="","",'Drivers'!$D$9)</x:f>
        <x:v>Accrual</x:v>
      </x:c>
      <x:c r="M30" s="70" t="str">
        <x:f>IF('Drivers'!$D$12="","",'Drivers'!$D$12)</x:f>
      </x:c>
      <x:c r="N30" s="42" t="str">
        <x:f>IF('Drivers'!$D$15="","",'Drivers'!$D$15)</x:f>
      </x:c>
      <x:c r="O30" s="42" t="str">
        <x:v>income</x:v>
      </x:c>
      <x:c r="P30" s="42" t="str">
        <x:v>above_noi</x:v>
      </x:c>
      <x:c r="Q30" s="42" t="n">
        <x:v>1</x:v>
      </x:c>
      <x:c r="R30" s="51" t="str">
        <x:f>IF(V30="Closed: excluded","",IF(ISNUMBER('STR Build'!G29),'STR Build'!G29,""))</x:f>
      </x:c>
      <x:c r="S30" s="42" t="str">
        <x:v>STR Build!G29</x:v>
      </x:c>
      <x:c r="T30" s="42" t="str">
        <x:v>Formula</x:v>
      </x:c>
      <x:c r="U30" s="67" t="str">
        <x:f>IF(ISNUMBER(R30),IF(R30=0,"Populated zero","Populated"),"Missing")</x:f>
        <x:v>Missing</x:v>
      </x:c>
      <x:c r="V30" s="67" t="str">
        <x:f>IF(AND(ISNUMBER('Drivers'!$D$12),E30&lt;='Drivers'!$D$12),"Closed: excluded","Open forecast")</x:f>
        <x:v>Open forecast</x:v>
      </x:c>
    </x:row>
    <x:row r="31" ht="22" customHeight="1">
      <x:c r="A31" s="42"/>
      <x:c r="B31" s="42"/>
      <x:c r="C31" s="42" t="str">
        <x:f>IF('Drivers'!$D$5="","",'Drivers'!$D$5)</x:f>
      </x:c>
      <x:c r="D31" s="42" t="str">
        <x:f>IF('Drivers'!$D$4="","",'Drivers'!$D$4)</x:f>
      </x:c>
      <x:c r="E31" s="69" t="n">
        <x:f>'STR Build'!G$6</x:f>
        <x:v>46419</x:v>
      </x:c>
      <x:c r="F31" s="42" t="str">
        <x:f>IF('Drivers'!$D$10="","",'Drivers'!$D$10)</x:f>
        <x:v>Working Draft</x:v>
      </x:c>
      <x:c r="G31" s="42" t="str">
        <x:f>IF('GL Mapping'!I9="",'GL Mapping'!C9,'GL Mapping'!I9)</x:f>
        <x:v>410300</x:v>
      </x:c>
      <x:c r="H31" s="42" t="str">
        <x:v>Other guest fee income</x:v>
      </x:c>
      <x:c r="I31" s="42" t="str">
        <x:f>IF('Drivers'!$D$11="","",'Drivers'!$D$11)</x:f>
        <x:v>Short-Term Rentals</x:v>
      </x:c>
      <x:c r="J31" s="42" t="str">
        <x:f>IF('Drivers'!$D$8="","",'Drivers'!$D$8)</x:f>
        <x:v>USD</x:v>
      </x:c>
      <x:c r="K31" s="42" t="str">
        <x:f>IF('Drivers'!$D$21="","",'Drivers'!$D$21)</x:f>
        <x:v>Calendar</x:v>
      </x:c>
      <x:c r="L31" s="42" t="str">
        <x:f>IF('Drivers'!$D$9="","",'Drivers'!$D$9)</x:f>
        <x:v>Accrual</x:v>
      </x:c>
      <x:c r="M31" s="70" t="str">
        <x:f>IF('Drivers'!$D$12="","",'Drivers'!$D$12)</x:f>
      </x:c>
      <x:c r="N31" s="42" t="str">
        <x:f>IF('Drivers'!$D$15="","",'Drivers'!$D$15)</x:f>
      </x:c>
      <x:c r="O31" s="42" t="str">
        <x:v>income</x:v>
      </x:c>
      <x:c r="P31" s="42" t="str">
        <x:v>above_noi</x:v>
      </x:c>
      <x:c r="Q31" s="42" t="n">
        <x:v>1</x:v>
      </x:c>
      <x:c r="R31" s="51" t="str">
        <x:f>IF(V31="Closed: excluded","",IF(ISNUMBER('STR Build'!G30),'STR Build'!G30,""))</x:f>
      </x:c>
      <x:c r="S31" s="42" t="str">
        <x:v>STR Build!G30</x:v>
      </x:c>
      <x:c r="T31" s="42" t="str">
        <x:v>Formula</x:v>
      </x:c>
      <x:c r="U31" s="67" t="str">
        <x:f>IF(ISNUMBER(R31),IF(R31=0,"Populated zero","Populated"),"Missing")</x:f>
        <x:v>Missing</x:v>
      </x:c>
      <x:c r="V31" s="67" t="str">
        <x:f>IF(AND(ISNUMBER('Drivers'!$D$12),E31&lt;='Drivers'!$D$12),"Closed: excluded","Open forecast")</x:f>
        <x:v>Open forecast</x:v>
      </x:c>
    </x:row>
    <x:row r="32" ht="22" customHeight="1">
      <x:c r="A32" s="42"/>
      <x:c r="B32" s="42"/>
      <x:c r="C32" s="42" t="str">
        <x:f>IF('Drivers'!$D$5="","",'Drivers'!$D$5)</x:f>
      </x:c>
      <x:c r="D32" s="42" t="str">
        <x:f>IF('Drivers'!$D$4="","",'Drivers'!$D$4)</x:f>
      </x:c>
      <x:c r="E32" s="69" t="n">
        <x:f>'STR Build'!G$6</x:f>
        <x:v>46419</x:v>
      </x:c>
      <x:c r="F32" s="42" t="str">
        <x:f>IF('Drivers'!$D$10="","",'Drivers'!$D$10)</x:f>
        <x:v>Working Draft</x:v>
      </x:c>
      <x:c r="G32" s="42" t="str">
        <x:f>IF('GL Mapping'!I10="",'GL Mapping'!C10,'GL Mapping'!I10)</x:f>
        <x:v>419100</x:v>
      </x:c>
      <x:c r="H32" s="42" t="str">
        <x:v>Refunds and discounts</x:v>
      </x:c>
      <x:c r="I32" s="42" t="str">
        <x:f>IF('Drivers'!$D$11="","",'Drivers'!$D$11)</x:f>
        <x:v>Short-Term Rentals</x:v>
      </x:c>
      <x:c r="J32" s="42" t="str">
        <x:f>IF('Drivers'!$D$8="","",'Drivers'!$D$8)</x:f>
        <x:v>USD</x:v>
      </x:c>
      <x:c r="K32" s="42" t="str">
        <x:f>IF('Drivers'!$D$21="","",'Drivers'!$D$21)</x:f>
        <x:v>Calendar</x:v>
      </x:c>
      <x:c r="L32" s="42" t="str">
        <x:f>IF('Drivers'!$D$9="","",'Drivers'!$D$9)</x:f>
        <x:v>Accrual</x:v>
      </x:c>
      <x:c r="M32" s="70" t="str">
        <x:f>IF('Drivers'!$D$12="","",'Drivers'!$D$12)</x:f>
      </x:c>
      <x:c r="N32" s="42" t="str">
        <x:f>IF('Drivers'!$D$15="","",'Drivers'!$D$15)</x:f>
      </x:c>
      <x:c r="O32" s="42" t="str">
        <x:v>contra_income</x:v>
      </x:c>
      <x:c r="P32" s="42" t="str">
        <x:v>above_noi</x:v>
      </x:c>
      <x:c r="Q32" s="42" t="n">
        <x:v>1</x:v>
      </x:c>
      <x:c r="R32" s="51" t="str">
        <x:f>IF(V32="Closed: excluded","",IF(ISNUMBER('STR Build'!G32),'STR Build'!G32,""))</x:f>
      </x:c>
      <x:c r="S32" s="42" t="str">
        <x:v>STR Build!G32</x:v>
      </x:c>
      <x:c r="T32" s="42" t="str">
        <x:v>Formula</x:v>
      </x:c>
      <x:c r="U32" s="67" t="str">
        <x:f>IF(ISNUMBER(R32),IF(R32=0,"Populated zero","Populated"),"Missing")</x:f>
        <x:v>Missing</x:v>
      </x:c>
      <x:c r="V32" s="67" t="str">
        <x:f>IF(AND(ISNUMBER('Drivers'!$D$12),E32&lt;='Drivers'!$D$12),"Closed: excluded","Open forecast")</x:f>
        <x:v>Open forecast</x:v>
      </x:c>
    </x:row>
    <x:row r="33" ht="22" customHeight="1">
      <x:c r="A33" s="42"/>
      <x:c r="B33" s="42"/>
      <x:c r="C33" s="42" t="str">
        <x:f>IF('Drivers'!$D$5="","",'Drivers'!$D$5)</x:f>
      </x:c>
      <x:c r="D33" s="42" t="str">
        <x:f>IF('Drivers'!$D$4="","",'Drivers'!$D$4)</x:f>
      </x:c>
      <x:c r="E33" s="69" t="n">
        <x:f>'STR Build'!G$6</x:f>
        <x:v>46419</x:v>
      </x:c>
      <x:c r="F33" s="42" t="str">
        <x:f>IF('Drivers'!$D$10="","",'Drivers'!$D$10)</x:f>
        <x:v>Working Draft</x:v>
      </x:c>
      <x:c r="G33" s="42" t="str">
        <x:f>IF('GL Mapping'!I11="",'GL Mapping'!C11,'GL Mapping'!I11)</x:f>
        <x:v>419200</x:v>
      </x:c>
      <x:c r="H33" s="42" t="str">
        <x:v>Bad debt</x:v>
      </x:c>
      <x:c r="I33" s="42" t="str">
        <x:f>IF('Drivers'!$D$11="","",'Drivers'!$D$11)</x:f>
        <x:v>Short-Term Rentals</x:v>
      </x:c>
      <x:c r="J33" s="42" t="str">
        <x:f>IF('Drivers'!$D$8="","",'Drivers'!$D$8)</x:f>
        <x:v>USD</x:v>
      </x:c>
      <x:c r="K33" s="42" t="str">
        <x:f>IF('Drivers'!$D$21="","",'Drivers'!$D$21)</x:f>
        <x:v>Calendar</x:v>
      </x:c>
      <x:c r="L33" s="42" t="str">
        <x:f>IF('Drivers'!$D$9="","",'Drivers'!$D$9)</x:f>
        <x:v>Accrual</x:v>
      </x:c>
      <x:c r="M33" s="70" t="str">
        <x:f>IF('Drivers'!$D$12="","",'Drivers'!$D$12)</x:f>
      </x:c>
      <x:c r="N33" s="42" t="str">
        <x:f>IF('Drivers'!$D$15="","",'Drivers'!$D$15)</x:f>
      </x:c>
      <x:c r="O33" s="42" t="str">
        <x:v>contra_income</x:v>
      </x:c>
      <x:c r="P33" s="42" t="str">
        <x:v>above_noi</x:v>
      </x:c>
      <x:c r="Q33" s="42" t="n">
        <x:v>1</x:v>
      </x:c>
      <x:c r="R33" s="51" t="str">
        <x:f>IF(V33="Closed: excluded","",IF(ISNUMBER('STR Build'!G33),'STR Build'!G33,""))</x:f>
      </x:c>
      <x:c r="S33" s="42" t="str">
        <x:v>STR Build!G33</x:v>
      </x:c>
      <x:c r="T33" s="42" t="str">
        <x:v>Formula</x:v>
      </x:c>
      <x:c r="U33" s="67" t="str">
        <x:f>IF(ISNUMBER(R33),IF(R33=0,"Populated zero","Populated"),"Missing")</x:f>
        <x:v>Missing</x:v>
      </x:c>
      <x:c r="V33" s="67" t="str">
        <x:f>IF(AND(ISNUMBER('Drivers'!$D$12),E33&lt;='Drivers'!$D$12),"Closed: excluded","Open forecast")</x:f>
        <x:v>Open forecast</x:v>
      </x:c>
    </x:row>
    <x:row r="34" ht="22" customHeight="1">
      <x:c r="A34" s="42"/>
      <x:c r="B34" s="42"/>
      <x:c r="C34" s="42" t="str">
        <x:f>IF('Drivers'!$D$5="","",'Drivers'!$D$5)</x:f>
      </x:c>
      <x:c r="D34" s="42" t="str">
        <x:f>IF('Drivers'!$D$4="","",'Drivers'!$D$4)</x:f>
      </x:c>
      <x:c r="E34" s="69" t="n">
        <x:f>'STR Build'!G$6</x:f>
        <x:v>46419</x:v>
      </x:c>
      <x:c r="F34" s="42" t="str">
        <x:f>IF('Drivers'!$D$10="","",'Drivers'!$D$10)</x:f>
        <x:v>Working Draft</x:v>
      </x:c>
      <x:c r="G34" s="42" t="str">
        <x:f>IF('GL Mapping'!I12="",'GL Mapping'!C12,'GL Mapping'!I12)</x:f>
        <x:v>610100</x:v>
      </x:c>
      <x:c r="H34" s="42" t="str">
        <x:v>Channel commissions</x:v>
      </x:c>
      <x:c r="I34" s="42" t="str">
        <x:f>IF('Drivers'!$D$11="","",'Drivers'!$D$11)</x:f>
        <x:v>Short-Term Rentals</x:v>
      </x:c>
      <x:c r="J34" s="42" t="str">
        <x:f>IF('Drivers'!$D$8="","",'Drivers'!$D$8)</x:f>
        <x:v>USD</x:v>
      </x:c>
      <x:c r="K34" s="42" t="str">
        <x:f>IF('Drivers'!$D$21="","",'Drivers'!$D$21)</x:f>
        <x:v>Calendar</x:v>
      </x:c>
      <x:c r="L34" s="42" t="str">
        <x:f>IF('Drivers'!$D$9="","",'Drivers'!$D$9)</x:f>
        <x:v>Accrual</x:v>
      </x:c>
      <x:c r="M34" s="70" t="str">
        <x:f>IF('Drivers'!$D$12="","",'Drivers'!$D$12)</x:f>
      </x:c>
      <x:c r="N34" s="42" t="str">
        <x:f>IF('Drivers'!$D$15="","",'Drivers'!$D$15)</x:f>
      </x:c>
      <x:c r="O34" s="42" t="str">
        <x:v>expense</x:v>
      </x:c>
      <x:c r="P34" s="42" t="str">
        <x:v>above_noi</x:v>
      </x:c>
      <x:c r="Q34" s="42" t="n">
        <x:v>1</x:v>
      </x:c>
      <x:c r="R34" s="51" t="str">
        <x:f>IF(V34="Closed: excluded","",IF(ISNUMBER('STR Build'!G36),'STR Build'!G36,""))</x:f>
      </x:c>
      <x:c r="S34" s="42" t="str">
        <x:v>STR Build!G36</x:v>
      </x:c>
      <x:c r="T34" s="42" t="str">
        <x:v>Formula</x:v>
      </x:c>
      <x:c r="U34" s="67" t="str">
        <x:f>IF(ISNUMBER(R34),IF(R34=0,"Populated zero","Populated"),"Missing")</x:f>
        <x:v>Missing</x:v>
      </x:c>
      <x:c r="V34" s="67" t="str">
        <x:f>IF(AND(ISNUMBER('Drivers'!$D$12),E34&lt;='Drivers'!$D$12),"Closed: excluded","Open forecast")</x:f>
        <x:v>Open forecast</x:v>
      </x:c>
    </x:row>
    <x:row r="35" ht="22" customHeight="1">
      <x:c r="A35" s="42"/>
      <x:c r="B35" s="42"/>
      <x:c r="C35" s="42" t="str">
        <x:f>IF('Drivers'!$D$5="","",'Drivers'!$D$5)</x:f>
      </x:c>
      <x:c r="D35" s="42" t="str">
        <x:f>IF('Drivers'!$D$4="","",'Drivers'!$D$4)</x:f>
      </x:c>
      <x:c r="E35" s="69" t="n">
        <x:f>'STR Build'!G$6</x:f>
        <x:v>46419</x:v>
      </x:c>
      <x:c r="F35" s="42" t="str">
        <x:f>IF('Drivers'!$D$10="","",'Drivers'!$D$10)</x:f>
        <x:v>Working Draft</x:v>
      </x:c>
      <x:c r="G35" s="42" t="str">
        <x:f>IF('GL Mapping'!I13="",'GL Mapping'!C13,'GL Mapping'!I13)</x:f>
        <x:v>610200</x:v>
      </x:c>
      <x:c r="H35" s="42" t="str">
        <x:v>Cleaning expense</x:v>
      </x:c>
      <x:c r="I35" s="42" t="str">
        <x:f>IF('Drivers'!$D$11="","",'Drivers'!$D$11)</x:f>
        <x:v>Short-Term Rentals</x:v>
      </x:c>
      <x:c r="J35" s="42" t="str">
        <x:f>IF('Drivers'!$D$8="","",'Drivers'!$D$8)</x:f>
        <x:v>USD</x:v>
      </x:c>
      <x:c r="K35" s="42" t="str">
        <x:f>IF('Drivers'!$D$21="","",'Drivers'!$D$21)</x:f>
        <x:v>Calendar</x:v>
      </x:c>
      <x:c r="L35" s="42" t="str">
        <x:f>IF('Drivers'!$D$9="","",'Drivers'!$D$9)</x:f>
        <x:v>Accrual</x:v>
      </x:c>
      <x:c r="M35" s="70" t="str">
        <x:f>IF('Drivers'!$D$12="","",'Drivers'!$D$12)</x:f>
      </x:c>
      <x:c r="N35" s="42" t="str">
        <x:f>IF('Drivers'!$D$15="","",'Drivers'!$D$15)</x:f>
      </x:c>
      <x:c r="O35" s="42" t="str">
        <x:v>expense</x:v>
      </x:c>
      <x:c r="P35" s="42" t="str">
        <x:v>above_noi</x:v>
      </x:c>
      <x:c r="Q35" s="42" t="n">
        <x:v>1</x:v>
      </x:c>
      <x:c r="R35" s="51" t="str">
        <x:f>IF(V35="Closed: excluded","",IF(ISNUMBER('STR Build'!G37),'STR Build'!G37,""))</x:f>
      </x:c>
      <x:c r="S35" s="42" t="str">
        <x:v>STR Build!G37</x:v>
      </x:c>
      <x:c r="T35" s="42" t="str">
        <x:v>Formula</x:v>
      </x:c>
      <x:c r="U35" s="67" t="str">
        <x:f>IF(ISNUMBER(R35),IF(R35=0,"Populated zero","Populated"),"Missing")</x:f>
        <x:v>Missing</x:v>
      </x:c>
      <x:c r="V35" s="67" t="str">
        <x:f>IF(AND(ISNUMBER('Drivers'!$D$12),E35&lt;='Drivers'!$D$12),"Closed: excluded","Open forecast")</x:f>
        <x:v>Open forecast</x:v>
      </x:c>
    </x:row>
    <x:row r="36" ht="22" customHeight="1">
      <x:c r="A36" s="42"/>
      <x:c r="B36" s="42"/>
      <x:c r="C36" s="42" t="str">
        <x:f>IF('Drivers'!$D$5="","",'Drivers'!$D$5)</x:f>
      </x:c>
      <x:c r="D36" s="42" t="str">
        <x:f>IF('Drivers'!$D$4="","",'Drivers'!$D$4)</x:f>
      </x:c>
      <x:c r="E36" s="69" t="n">
        <x:f>'STR Build'!G$6</x:f>
        <x:v>46419</x:v>
      </x:c>
      <x:c r="F36" s="42" t="str">
        <x:f>IF('Drivers'!$D$10="","",'Drivers'!$D$10)</x:f>
        <x:v>Working Draft</x:v>
      </x:c>
      <x:c r="G36" s="42" t="str">
        <x:f>IF('GL Mapping'!I14="",'GL Mapping'!C14,'GL Mapping'!I14)</x:f>
        <x:v>610300</x:v>
      </x:c>
      <x:c r="H36" s="42" t="str">
        <x:v>Property-borne lodging tax</x:v>
      </x:c>
      <x:c r="I36" s="42" t="str">
        <x:f>IF('Drivers'!$D$11="","",'Drivers'!$D$11)</x:f>
        <x:v>Short-Term Rentals</x:v>
      </x:c>
      <x:c r="J36" s="42" t="str">
        <x:f>IF('Drivers'!$D$8="","",'Drivers'!$D$8)</x:f>
        <x:v>USD</x:v>
      </x:c>
      <x:c r="K36" s="42" t="str">
        <x:f>IF('Drivers'!$D$21="","",'Drivers'!$D$21)</x:f>
        <x:v>Calendar</x:v>
      </x:c>
      <x:c r="L36" s="42" t="str">
        <x:f>IF('Drivers'!$D$9="","",'Drivers'!$D$9)</x:f>
        <x:v>Accrual</x:v>
      </x:c>
      <x:c r="M36" s="70" t="str">
        <x:f>IF('Drivers'!$D$12="","",'Drivers'!$D$12)</x:f>
      </x:c>
      <x:c r="N36" s="42" t="str">
        <x:f>IF('Drivers'!$D$15="","",'Drivers'!$D$15)</x:f>
      </x:c>
      <x:c r="O36" s="42" t="str">
        <x:v>expense</x:v>
      </x:c>
      <x:c r="P36" s="42" t="str">
        <x:v>above_noi</x:v>
      </x:c>
      <x:c r="Q36" s="42" t="n">
        <x:v>1</x:v>
      </x:c>
      <x:c r="R36" s="51" t="str">
        <x:f>IF(V36="Closed: excluded","",IF(ISNUMBER('STR Build'!G38),'STR Build'!G38,""))</x:f>
      </x:c>
      <x:c r="S36" s="42" t="str">
        <x:v>STR Build!G38</x:v>
      </x:c>
      <x:c r="T36" s="42" t="str">
        <x:v>Formula</x:v>
      </x:c>
      <x:c r="U36" s="67" t="str">
        <x:f>IF(ISNUMBER(R36),IF(R36=0,"Populated zero","Populated"),"Missing")</x:f>
        <x:v>Missing</x:v>
      </x:c>
      <x:c r="V36" s="67" t="str">
        <x:f>IF(AND(ISNUMBER('Drivers'!$D$12),E36&lt;='Drivers'!$D$12),"Closed: excluded","Open forecast")</x:f>
        <x:v>Open forecast</x:v>
      </x:c>
    </x:row>
    <x:row r="37" ht="22" customHeight="1">
      <x:c r="A37" s="42"/>
      <x:c r="B37" s="42"/>
      <x:c r="C37" s="42" t="str">
        <x:f>IF('Drivers'!$D$5="","",'Drivers'!$D$5)</x:f>
      </x:c>
      <x:c r="D37" s="42" t="str">
        <x:f>IF('Drivers'!$D$4="","",'Drivers'!$D$4)</x:f>
      </x:c>
      <x:c r="E37" s="69" t="n">
        <x:f>'STR Build'!G$6</x:f>
        <x:v>46419</x:v>
      </x:c>
      <x:c r="F37" s="42" t="str">
        <x:f>IF('Drivers'!$D$10="","",'Drivers'!$D$10)</x:f>
        <x:v>Working Draft</x:v>
      </x:c>
      <x:c r="G37" s="42" t="str">
        <x:f>IF('GL Mapping'!I15="",'GL Mapping'!C15,'GL Mapping'!I15)</x:f>
        <x:v>610400</x:v>
      </x:c>
      <x:c r="H37" s="42" t="str">
        <x:v>Supplies</x:v>
      </x:c>
      <x:c r="I37" s="42" t="str">
        <x:f>IF('Drivers'!$D$11="","",'Drivers'!$D$11)</x:f>
        <x:v>Short-Term Rentals</x:v>
      </x:c>
      <x:c r="J37" s="42" t="str">
        <x:f>IF('Drivers'!$D$8="","",'Drivers'!$D$8)</x:f>
        <x:v>USD</x:v>
      </x:c>
      <x:c r="K37" s="42" t="str">
        <x:f>IF('Drivers'!$D$21="","",'Drivers'!$D$21)</x:f>
        <x:v>Calendar</x:v>
      </x:c>
      <x:c r="L37" s="42" t="str">
        <x:f>IF('Drivers'!$D$9="","",'Drivers'!$D$9)</x:f>
        <x:v>Accrual</x:v>
      </x:c>
      <x:c r="M37" s="70" t="str">
        <x:f>IF('Drivers'!$D$12="","",'Drivers'!$D$12)</x:f>
      </x:c>
      <x:c r="N37" s="42" t="str">
        <x:f>IF('Drivers'!$D$15="","",'Drivers'!$D$15)</x:f>
      </x:c>
      <x:c r="O37" s="42" t="str">
        <x:v>expense</x:v>
      </x:c>
      <x:c r="P37" s="42" t="str">
        <x:v>above_noi</x:v>
      </x:c>
      <x:c r="Q37" s="42" t="n">
        <x:v>1</x:v>
      </x:c>
      <x:c r="R37" s="51" t="str">
        <x:f>IF(V37="Closed: excluded","",IF(ISNUMBER('STR Build'!G39),'STR Build'!G39,""))</x:f>
      </x:c>
      <x:c r="S37" s="42" t="str">
        <x:v>STR Build!G39</x:v>
      </x:c>
      <x:c r="T37" s="42" t="str">
        <x:v>Formula</x:v>
      </x:c>
      <x:c r="U37" s="67" t="str">
        <x:f>IF(ISNUMBER(R37),IF(R37=0,"Populated zero","Populated"),"Missing")</x:f>
        <x:v>Missing</x:v>
      </x:c>
      <x:c r="V37" s="67" t="str">
        <x:f>IF(AND(ISNUMBER('Drivers'!$D$12),E37&lt;='Drivers'!$D$12),"Closed: excluded","Open forecast")</x:f>
        <x:v>Open forecast</x:v>
      </x:c>
    </x:row>
    <x:row r="38" ht="22" customHeight="1">
      <x:c r="A38" s="42"/>
      <x:c r="B38" s="42"/>
      <x:c r="C38" s="42" t="str">
        <x:f>IF('Drivers'!$D$5="","",'Drivers'!$D$5)</x:f>
      </x:c>
      <x:c r="D38" s="42" t="str">
        <x:f>IF('Drivers'!$D$4="","",'Drivers'!$D$4)</x:f>
      </x:c>
      <x:c r="E38" s="69" t="n">
        <x:f>'STR Build'!G$6</x:f>
        <x:v>46419</x:v>
      </x:c>
      <x:c r="F38" s="42" t="str">
        <x:f>IF('Drivers'!$D$10="","",'Drivers'!$D$10)</x:f>
        <x:v>Working Draft</x:v>
      </x:c>
      <x:c r="G38" s="42" t="str">
        <x:f>IF('GL Mapping'!I16="",'GL Mapping'!C16,'GL Mapping'!I16)</x:f>
        <x:v>620100</x:v>
      </x:c>
      <x:c r="H38" s="42" t="str">
        <x:v>Payroll</x:v>
      </x:c>
      <x:c r="I38" s="42" t="str">
        <x:f>IF('Drivers'!$D$11="","",'Drivers'!$D$11)</x:f>
        <x:v>Short-Term Rentals</x:v>
      </x:c>
      <x:c r="J38" s="42" t="str">
        <x:f>IF('Drivers'!$D$8="","",'Drivers'!$D$8)</x:f>
        <x:v>USD</x:v>
      </x:c>
      <x:c r="K38" s="42" t="str">
        <x:f>IF('Drivers'!$D$21="","",'Drivers'!$D$21)</x:f>
        <x:v>Calendar</x:v>
      </x:c>
      <x:c r="L38" s="42" t="str">
        <x:f>IF('Drivers'!$D$9="","",'Drivers'!$D$9)</x:f>
        <x:v>Accrual</x:v>
      </x:c>
      <x:c r="M38" s="70" t="str">
        <x:f>IF('Drivers'!$D$12="","",'Drivers'!$D$12)</x:f>
      </x:c>
      <x:c r="N38" s="42" t="str">
        <x:f>IF('Drivers'!$D$15="","",'Drivers'!$D$15)</x:f>
      </x:c>
      <x:c r="O38" s="42" t="str">
        <x:v>expense</x:v>
      </x:c>
      <x:c r="P38" s="42" t="str">
        <x:v>above_noi</x:v>
      </x:c>
      <x:c r="Q38" s="42" t="n">
        <x:v>1</x:v>
      </x:c>
      <x:c r="R38" s="51" t="str">
        <x:f>IF(V38="Closed: excluded","",IF(ISNUMBER('STR Build'!G40),'STR Build'!G40,""))</x:f>
      </x:c>
      <x:c r="S38" s="42" t="str">
        <x:v>STR Build!G40</x:v>
      </x:c>
      <x:c r="T38" s="42" t="str">
        <x:v>Formula</x:v>
      </x:c>
      <x:c r="U38" s="67" t="str">
        <x:f>IF(ISNUMBER(R38),IF(R38=0,"Populated zero","Populated"),"Missing")</x:f>
        <x:v>Missing</x:v>
      </x:c>
      <x:c r="V38" s="67" t="str">
        <x:f>IF(AND(ISNUMBER('Drivers'!$D$12),E38&lt;='Drivers'!$D$12),"Closed: excluded","Open forecast")</x:f>
        <x:v>Open forecast</x:v>
      </x:c>
    </x:row>
    <x:row r="39" ht="22" customHeight="1">
      <x:c r="A39" s="42"/>
      <x:c r="B39" s="42"/>
      <x:c r="C39" s="42" t="str">
        <x:f>IF('Drivers'!$D$5="","",'Drivers'!$D$5)</x:f>
      </x:c>
      <x:c r="D39" s="42" t="str">
        <x:f>IF('Drivers'!$D$4="","",'Drivers'!$D$4)</x:f>
      </x:c>
      <x:c r="E39" s="69" t="n">
        <x:f>'STR Build'!G$6</x:f>
        <x:v>46419</x:v>
      </x:c>
      <x:c r="F39" s="42" t="str">
        <x:f>IF('Drivers'!$D$10="","",'Drivers'!$D$10)</x:f>
        <x:v>Working Draft</x:v>
      </x:c>
      <x:c r="G39" s="42" t="str">
        <x:f>IF('GL Mapping'!I17="",'GL Mapping'!C17,'GL Mapping'!I17)</x:f>
        <x:v>630100</x:v>
      </x:c>
      <x:c r="H39" s="42" t="str">
        <x:v>Utilities</x:v>
      </x:c>
      <x:c r="I39" s="42" t="str">
        <x:f>IF('Drivers'!$D$11="","",'Drivers'!$D$11)</x:f>
        <x:v>Short-Term Rentals</x:v>
      </x:c>
      <x:c r="J39" s="42" t="str">
        <x:f>IF('Drivers'!$D$8="","",'Drivers'!$D$8)</x:f>
        <x:v>USD</x:v>
      </x:c>
      <x:c r="K39" s="42" t="str">
        <x:f>IF('Drivers'!$D$21="","",'Drivers'!$D$21)</x:f>
        <x:v>Calendar</x:v>
      </x:c>
      <x:c r="L39" s="42" t="str">
        <x:f>IF('Drivers'!$D$9="","",'Drivers'!$D$9)</x:f>
        <x:v>Accrual</x:v>
      </x:c>
      <x:c r="M39" s="70" t="str">
        <x:f>IF('Drivers'!$D$12="","",'Drivers'!$D$12)</x:f>
      </x:c>
      <x:c r="N39" s="42" t="str">
        <x:f>IF('Drivers'!$D$15="","",'Drivers'!$D$15)</x:f>
      </x:c>
      <x:c r="O39" s="42" t="str">
        <x:v>expense</x:v>
      </x:c>
      <x:c r="P39" s="42" t="str">
        <x:v>above_noi</x:v>
      </x:c>
      <x:c r="Q39" s="42" t="n">
        <x:v>1</x:v>
      </x:c>
      <x:c r="R39" s="51" t="str">
        <x:f>IF(V39="Closed: excluded","",IF(ISNUMBER('STR Build'!G41),'STR Build'!G41,""))</x:f>
      </x:c>
      <x:c r="S39" s="42" t="str">
        <x:v>STR Build!G41</x:v>
      </x:c>
      <x:c r="T39" s="42" t="str">
        <x:v>Formula</x:v>
      </x:c>
      <x:c r="U39" s="67" t="str">
        <x:f>IF(ISNUMBER(R39),IF(R39=0,"Populated zero","Populated"),"Missing")</x:f>
        <x:v>Missing</x:v>
      </x:c>
      <x:c r="V39" s="67" t="str">
        <x:f>IF(AND(ISNUMBER('Drivers'!$D$12),E39&lt;='Drivers'!$D$12),"Closed: excluded","Open forecast")</x:f>
        <x:v>Open forecast</x:v>
      </x:c>
    </x:row>
    <x:row r="40" ht="22" customHeight="1">
      <x:c r="A40" s="42"/>
      <x:c r="B40" s="42"/>
      <x:c r="C40" s="42" t="str">
        <x:f>IF('Drivers'!$D$5="","",'Drivers'!$D$5)</x:f>
      </x:c>
      <x:c r="D40" s="42" t="str">
        <x:f>IF('Drivers'!$D$4="","",'Drivers'!$D$4)</x:f>
      </x:c>
      <x:c r="E40" s="69" t="n">
        <x:f>'STR Build'!G$6</x:f>
        <x:v>46419</x:v>
      </x:c>
      <x:c r="F40" s="42" t="str">
        <x:f>IF('Drivers'!$D$10="","",'Drivers'!$D$10)</x:f>
        <x:v>Working Draft</x:v>
      </x:c>
      <x:c r="G40" s="42" t="str">
        <x:f>IF('GL Mapping'!I18="",'GL Mapping'!C18,'GL Mapping'!I18)</x:f>
        <x:v>640100</x:v>
      </x:c>
      <x:c r="H40" s="42" t="str">
        <x:v>Contracts</x:v>
      </x:c>
      <x:c r="I40" s="42" t="str">
        <x:f>IF('Drivers'!$D$11="","",'Drivers'!$D$11)</x:f>
        <x:v>Short-Term Rentals</x:v>
      </x:c>
      <x:c r="J40" s="42" t="str">
        <x:f>IF('Drivers'!$D$8="","",'Drivers'!$D$8)</x:f>
        <x:v>USD</x:v>
      </x:c>
      <x:c r="K40" s="42" t="str">
        <x:f>IF('Drivers'!$D$21="","",'Drivers'!$D$21)</x:f>
        <x:v>Calendar</x:v>
      </x:c>
      <x:c r="L40" s="42" t="str">
        <x:f>IF('Drivers'!$D$9="","",'Drivers'!$D$9)</x:f>
        <x:v>Accrual</x:v>
      </x:c>
      <x:c r="M40" s="70" t="str">
        <x:f>IF('Drivers'!$D$12="","",'Drivers'!$D$12)</x:f>
      </x:c>
      <x:c r="N40" s="42" t="str">
        <x:f>IF('Drivers'!$D$15="","",'Drivers'!$D$15)</x:f>
      </x:c>
      <x:c r="O40" s="42" t="str">
        <x:v>expense</x:v>
      </x:c>
      <x:c r="P40" s="42" t="str">
        <x:v>above_noi</x:v>
      </x:c>
      <x:c r="Q40" s="42" t="n">
        <x:v>1</x:v>
      </x:c>
      <x:c r="R40" s="51" t="str">
        <x:f>IF(V40="Closed: excluded","",IF(ISNUMBER('STR Build'!G42),'STR Build'!G42,""))</x:f>
      </x:c>
      <x:c r="S40" s="42" t="str">
        <x:v>STR Build!G42</x:v>
      </x:c>
      <x:c r="T40" s="42" t="str">
        <x:v>Formula</x:v>
      </x:c>
      <x:c r="U40" s="67" t="str">
        <x:f>IF(ISNUMBER(R40),IF(R40=0,"Populated zero","Populated"),"Missing")</x:f>
        <x:v>Missing</x:v>
      </x:c>
      <x:c r="V40" s="67" t="str">
        <x:f>IF(AND(ISNUMBER('Drivers'!$D$12),E40&lt;='Drivers'!$D$12),"Closed: excluded","Open forecast")</x:f>
        <x:v>Open forecast</x:v>
      </x:c>
    </x:row>
    <x:row r="41" ht="22" customHeight="1">
      <x:c r="A41" s="42"/>
      <x:c r="B41" s="42"/>
      <x:c r="C41" s="42" t="str">
        <x:f>IF('Drivers'!$D$5="","",'Drivers'!$D$5)</x:f>
      </x:c>
      <x:c r="D41" s="42" t="str">
        <x:f>IF('Drivers'!$D$4="","",'Drivers'!$D$4)</x:f>
      </x:c>
      <x:c r="E41" s="69" t="n">
        <x:f>'STR Build'!G$6</x:f>
        <x:v>46419</x:v>
      </x:c>
      <x:c r="F41" s="42" t="str">
        <x:f>IF('Drivers'!$D$10="","",'Drivers'!$D$10)</x:f>
        <x:v>Working Draft</x:v>
      </x:c>
      <x:c r="G41" s="42" t="str">
        <x:f>IF('GL Mapping'!I19="",'GL Mapping'!C19,'GL Mapping'!I19)</x:f>
        <x:v>650100</x:v>
      </x:c>
      <x:c r="H41" s="42" t="str">
        <x:v>Marketing</x:v>
      </x:c>
      <x:c r="I41" s="42" t="str">
        <x:f>IF('Drivers'!$D$11="","",'Drivers'!$D$11)</x:f>
        <x:v>Short-Term Rentals</x:v>
      </x:c>
      <x:c r="J41" s="42" t="str">
        <x:f>IF('Drivers'!$D$8="","",'Drivers'!$D$8)</x:f>
        <x:v>USD</x:v>
      </x:c>
      <x:c r="K41" s="42" t="str">
        <x:f>IF('Drivers'!$D$21="","",'Drivers'!$D$21)</x:f>
        <x:v>Calendar</x:v>
      </x:c>
      <x:c r="L41" s="42" t="str">
        <x:f>IF('Drivers'!$D$9="","",'Drivers'!$D$9)</x:f>
        <x:v>Accrual</x:v>
      </x:c>
      <x:c r="M41" s="70" t="str">
        <x:f>IF('Drivers'!$D$12="","",'Drivers'!$D$12)</x:f>
      </x:c>
      <x:c r="N41" s="42" t="str">
        <x:f>IF('Drivers'!$D$15="","",'Drivers'!$D$15)</x:f>
      </x:c>
      <x:c r="O41" s="42" t="str">
        <x:v>expense</x:v>
      </x:c>
      <x:c r="P41" s="42" t="str">
        <x:v>above_noi</x:v>
      </x:c>
      <x:c r="Q41" s="42" t="n">
        <x:v>1</x:v>
      </x:c>
      <x:c r="R41" s="51" t="str">
        <x:f>IF(V41="Closed: excluded","",IF(ISNUMBER('STR Build'!G43),'STR Build'!G43,""))</x:f>
      </x:c>
      <x:c r="S41" s="42" t="str">
        <x:v>STR Build!G43</x:v>
      </x:c>
      <x:c r="T41" s="42" t="str">
        <x:v>Formula</x:v>
      </x:c>
      <x:c r="U41" s="67" t="str">
        <x:f>IF(ISNUMBER(R41),IF(R41=0,"Populated zero","Populated"),"Missing")</x:f>
        <x:v>Missing</x:v>
      </x:c>
      <x:c r="V41" s="67" t="str">
        <x:f>IF(AND(ISNUMBER('Drivers'!$D$12),E41&lt;='Drivers'!$D$12),"Closed: excluded","Open forecast")</x:f>
        <x:v>Open forecast</x:v>
      </x:c>
    </x:row>
    <x:row r="42" ht="22" customHeight="1">
      <x:c r="A42" s="42"/>
      <x:c r="B42" s="42"/>
      <x:c r="C42" s="42" t="str">
        <x:f>IF('Drivers'!$D$5="","",'Drivers'!$D$5)</x:f>
      </x:c>
      <x:c r="D42" s="42" t="str">
        <x:f>IF('Drivers'!$D$4="","",'Drivers'!$D$4)</x:f>
      </x:c>
      <x:c r="E42" s="69" t="n">
        <x:f>'STR Build'!G$6</x:f>
        <x:v>46419</x:v>
      </x:c>
      <x:c r="F42" s="42" t="str">
        <x:f>IF('Drivers'!$D$10="","",'Drivers'!$D$10)</x:f>
        <x:v>Working Draft</x:v>
      </x:c>
      <x:c r="G42" s="42" t="str">
        <x:f>IF('GL Mapping'!I20="",'GL Mapping'!C20,'GL Mapping'!I20)</x:f>
        <x:v>660100</x:v>
      </x:c>
      <x:c r="H42" s="42" t="str">
        <x:v>Maintenance</x:v>
      </x:c>
      <x:c r="I42" s="42" t="str">
        <x:f>IF('Drivers'!$D$11="","",'Drivers'!$D$11)</x:f>
        <x:v>Short-Term Rentals</x:v>
      </x:c>
      <x:c r="J42" s="42" t="str">
        <x:f>IF('Drivers'!$D$8="","",'Drivers'!$D$8)</x:f>
        <x:v>USD</x:v>
      </x:c>
      <x:c r="K42" s="42" t="str">
        <x:f>IF('Drivers'!$D$21="","",'Drivers'!$D$21)</x:f>
        <x:v>Calendar</x:v>
      </x:c>
      <x:c r="L42" s="42" t="str">
        <x:f>IF('Drivers'!$D$9="","",'Drivers'!$D$9)</x:f>
        <x:v>Accrual</x:v>
      </x:c>
      <x:c r="M42" s="70" t="str">
        <x:f>IF('Drivers'!$D$12="","",'Drivers'!$D$12)</x:f>
      </x:c>
      <x:c r="N42" s="42" t="str">
        <x:f>IF('Drivers'!$D$15="","",'Drivers'!$D$15)</x:f>
      </x:c>
      <x:c r="O42" s="42" t="str">
        <x:v>expense</x:v>
      </x:c>
      <x:c r="P42" s="42" t="str">
        <x:v>above_noi</x:v>
      </x:c>
      <x:c r="Q42" s="42" t="n">
        <x:v>1</x:v>
      </x:c>
      <x:c r="R42" s="51" t="str">
        <x:f>IF(V42="Closed: excluded","",IF(ISNUMBER('STR Build'!G44),'STR Build'!G44,""))</x:f>
      </x:c>
      <x:c r="S42" s="42" t="str">
        <x:v>STR Build!G44</x:v>
      </x:c>
      <x:c r="T42" s="42" t="str">
        <x:v>Formula</x:v>
      </x:c>
      <x:c r="U42" s="67" t="str">
        <x:f>IF(ISNUMBER(R42),IF(R42=0,"Populated zero","Populated"),"Missing")</x:f>
        <x:v>Missing</x:v>
      </x:c>
      <x:c r="V42" s="67" t="str">
        <x:f>IF(AND(ISNUMBER('Drivers'!$D$12),E42&lt;='Drivers'!$D$12),"Closed: excluded","Open forecast")</x:f>
        <x:v>Open forecast</x:v>
      </x:c>
    </x:row>
    <x:row r="43" ht="22" customHeight="1">
      <x:c r="A43" s="42"/>
      <x:c r="B43" s="42"/>
      <x:c r="C43" s="42" t="str">
        <x:f>IF('Drivers'!$D$5="","",'Drivers'!$D$5)</x:f>
      </x:c>
      <x:c r="D43" s="42" t="str">
        <x:f>IF('Drivers'!$D$4="","",'Drivers'!$D$4)</x:f>
      </x:c>
      <x:c r="E43" s="69" t="n">
        <x:f>'STR Build'!G$6</x:f>
        <x:v>46419</x:v>
      </x:c>
      <x:c r="F43" s="42" t="str">
        <x:f>IF('Drivers'!$D$10="","",'Drivers'!$D$10)</x:f>
        <x:v>Working Draft</x:v>
      </x:c>
      <x:c r="G43" s="42" t="str">
        <x:f>IF('GL Mapping'!I21="",'GL Mapping'!C21,'GL Mapping'!I21)</x:f>
        <x:v>670100</x:v>
      </x:c>
      <x:c r="H43" s="42" t="str">
        <x:v>Insurance</x:v>
      </x:c>
      <x:c r="I43" s="42" t="str">
        <x:f>IF('Drivers'!$D$11="","",'Drivers'!$D$11)</x:f>
        <x:v>Short-Term Rentals</x:v>
      </x:c>
      <x:c r="J43" s="42" t="str">
        <x:f>IF('Drivers'!$D$8="","",'Drivers'!$D$8)</x:f>
        <x:v>USD</x:v>
      </x:c>
      <x:c r="K43" s="42" t="str">
        <x:f>IF('Drivers'!$D$21="","",'Drivers'!$D$21)</x:f>
        <x:v>Calendar</x:v>
      </x:c>
      <x:c r="L43" s="42" t="str">
        <x:f>IF('Drivers'!$D$9="","",'Drivers'!$D$9)</x:f>
        <x:v>Accrual</x:v>
      </x:c>
      <x:c r="M43" s="70" t="str">
        <x:f>IF('Drivers'!$D$12="","",'Drivers'!$D$12)</x:f>
      </x:c>
      <x:c r="N43" s="42" t="str">
        <x:f>IF('Drivers'!$D$15="","",'Drivers'!$D$15)</x:f>
      </x:c>
      <x:c r="O43" s="42" t="str">
        <x:v>expense</x:v>
      </x:c>
      <x:c r="P43" s="42" t="str">
        <x:v>above_noi</x:v>
      </x:c>
      <x:c r="Q43" s="42" t="n">
        <x:v>1</x:v>
      </x:c>
      <x:c r="R43" s="51" t="str">
        <x:f>IF(V43="Closed: excluded","",IF(ISNUMBER('STR Build'!G45),'STR Build'!G45,""))</x:f>
      </x:c>
      <x:c r="S43" s="42" t="str">
        <x:v>STR Build!G45</x:v>
      </x:c>
      <x:c r="T43" s="42" t="str">
        <x:v>Formula</x:v>
      </x:c>
      <x:c r="U43" s="67" t="str">
        <x:f>IF(ISNUMBER(R43),IF(R43=0,"Populated zero","Populated"),"Missing")</x:f>
        <x:v>Missing</x:v>
      </x:c>
      <x:c r="V43" s="67" t="str">
        <x:f>IF(AND(ISNUMBER('Drivers'!$D$12),E43&lt;='Drivers'!$D$12),"Closed: excluded","Open forecast")</x:f>
        <x:v>Open forecast</x:v>
      </x:c>
    </x:row>
    <x:row r="44" ht="22" customHeight="1">
      <x:c r="A44" s="42"/>
      <x:c r="B44" s="42"/>
      <x:c r="C44" s="42" t="str">
        <x:f>IF('Drivers'!$D$5="","",'Drivers'!$D$5)</x:f>
      </x:c>
      <x:c r="D44" s="42" t="str">
        <x:f>IF('Drivers'!$D$4="","",'Drivers'!$D$4)</x:f>
      </x:c>
      <x:c r="E44" s="69" t="n">
        <x:f>'STR Build'!G$6</x:f>
        <x:v>46419</x:v>
      </x:c>
      <x:c r="F44" s="42" t="str">
        <x:f>IF('Drivers'!$D$10="","",'Drivers'!$D$10)</x:f>
        <x:v>Working Draft</x:v>
      </x:c>
      <x:c r="G44" s="42" t="str">
        <x:f>IF('GL Mapping'!I22="",'GL Mapping'!C22,'GL Mapping'!I22)</x:f>
        <x:v>680100</x:v>
      </x:c>
      <x:c r="H44" s="42" t="str">
        <x:v>Property taxes</x:v>
      </x:c>
      <x:c r="I44" s="42" t="str">
        <x:f>IF('Drivers'!$D$11="","",'Drivers'!$D$11)</x:f>
        <x:v>Short-Term Rentals</x:v>
      </x:c>
      <x:c r="J44" s="42" t="str">
        <x:f>IF('Drivers'!$D$8="","",'Drivers'!$D$8)</x:f>
        <x:v>USD</x:v>
      </x:c>
      <x:c r="K44" s="42" t="str">
        <x:f>IF('Drivers'!$D$21="","",'Drivers'!$D$21)</x:f>
        <x:v>Calendar</x:v>
      </x:c>
      <x:c r="L44" s="42" t="str">
        <x:f>IF('Drivers'!$D$9="","",'Drivers'!$D$9)</x:f>
        <x:v>Accrual</x:v>
      </x:c>
      <x:c r="M44" s="70" t="str">
        <x:f>IF('Drivers'!$D$12="","",'Drivers'!$D$12)</x:f>
      </x:c>
      <x:c r="N44" s="42" t="str">
        <x:f>IF('Drivers'!$D$15="","",'Drivers'!$D$15)</x:f>
      </x:c>
      <x:c r="O44" s="42" t="str">
        <x:v>expense</x:v>
      </x:c>
      <x:c r="P44" s="42" t="str">
        <x:v>above_noi</x:v>
      </x:c>
      <x:c r="Q44" s="42" t="n">
        <x:v>1</x:v>
      </x:c>
      <x:c r="R44" s="51" t="str">
        <x:f>IF(V44="Closed: excluded","",IF(ISNUMBER('STR Build'!G46),'STR Build'!G46,""))</x:f>
      </x:c>
      <x:c r="S44" s="42" t="str">
        <x:v>STR Build!G46</x:v>
      </x:c>
      <x:c r="T44" s="42" t="str">
        <x:v>Formula</x:v>
      </x:c>
      <x:c r="U44" s="67" t="str">
        <x:f>IF(ISNUMBER(R44),IF(R44=0,"Populated zero","Populated"),"Missing")</x:f>
        <x:v>Missing</x:v>
      </x:c>
      <x:c r="V44" s="67" t="str">
        <x:f>IF(AND(ISNUMBER('Drivers'!$D$12),E44&lt;='Drivers'!$D$12),"Closed: excluded","Open forecast")</x:f>
        <x:v>Open forecast</x:v>
      </x:c>
    </x:row>
    <x:row r="45" ht="22" customHeight="1">
      <x:c r="A45" s="42"/>
      <x:c r="B45" s="42"/>
      <x:c r="C45" s="42" t="str">
        <x:f>IF('Drivers'!$D$5="","",'Drivers'!$D$5)</x:f>
      </x:c>
      <x:c r="D45" s="42" t="str">
        <x:f>IF('Drivers'!$D$4="","",'Drivers'!$D$4)</x:f>
      </x:c>
      <x:c r="E45" s="69" t="n">
        <x:f>'STR Build'!G$6</x:f>
        <x:v>46419</x:v>
      </x:c>
      <x:c r="F45" s="42" t="str">
        <x:f>IF('Drivers'!$D$10="","",'Drivers'!$D$10)</x:f>
        <x:v>Working Draft</x:v>
      </x:c>
      <x:c r="G45" s="42" t="str">
        <x:f>IF('GL Mapping'!I23="",'GL Mapping'!C23,'GL Mapping'!I23)</x:f>
        <x:v>690100</x:v>
      </x:c>
      <x:c r="H45" s="42" t="str">
        <x:v>Other operating expenses</x:v>
      </x:c>
      <x:c r="I45" s="42" t="str">
        <x:f>IF('Drivers'!$D$11="","",'Drivers'!$D$11)</x:f>
        <x:v>Short-Term Rentals</x:v>
      </x:c>
      <x:c r="J45" s="42" t="str">
        <x:f>IF('Drivers'!$D$8="","",'Drivers'!$D$8)</x:f>
        <x:v>USD</x:v>
      </x:c>
      <x:c r="K45" s="42" t="str">
        <x:f>IF('Drivers'!$D$21="","",'Drivers'!$D$21)</x:f>
        <x:v>Calendar</x:v>
      </x:c>
      <x:c r="L45" s="42" t="str">
        <x:f>IF('Drivers'!$D$9="","",'Drivers'!$D$9)</x:f>
        <x:v>Accrual</x:v>
      </x:c>
      <x:c r="M45" s="70" t="str">
        <x:f>IF('Drivers'!$D$12="","",'Drivers'!$D$12)</x:f>
      </x:c>
      <x:c r="N45" s="42" t="str">
        <x:f>IF('Drivers'!$D$15="","",'Drivers'!$D$15)</x:f>
      </x:c>
      <x:c r="O45" s="42" t="str">
        <x:v>expense</x:v>
      </x:c>
      <x:c r="P45" s="42" t="str">
        <x:v>above_noi</x:v>
      </x:c>
      <x:c r="Q45" s="42" t="n">
        <x:v>1</x:v>
      </x:c>
      <x:c r="R45" s="51" t="str">
        <x:f>IF(V45="Closed: excluded","",IF(ISNUMBER('STR Build'!G47),'STR Build'!G47,""))</x:f>
      </x:c>
      <x:c r="S45" s="42" t="str">
        <x:v>STR Build!G47</x:v>
      </x:c>
      <x:c r="T45" s="42" t="str">
        <x:v>Formula</x:v>
      </x:c>
      <x:c r="U45" s="67" t="str">
        <x:f>IF(ISNUMBER(R45),IF(R45=0,"Populated zero","Populated"),"Missing")</x:f>
        <x:v>Missing</x:v>
      </x:c>
      <x:c r="V45" s="67" t="str">
        <x:f>IF(AND(ISNUMBER('Drivers'!$D$12),E45&lt;='Drivers'!$D$12),"Closed: excluded","Open forecast")</x:f>
        <x:v>Open forecast</x:v>
      </x:c>
    </x:row>
    <x:row r="46" ht="22" customHeight="1">
      <x:c r="A46" s="42"/>
      <x:c r="B46" s="42"/>
      <x:c r="C46" s="42" t="str">
        <x:f>IF('Drivers'!$D$5="","",'Drivers'!$D$5)</x:f>
      </x:c>
      <x:c r="D46" s="42" t="str">
        <x:f>IF('Drivers'!$D$4="","",'Drivers'!$D$4)</x:f>
      </x:c>
      <x:c r="E46" s="69" t="n">
        <x:f>'STR Build'!G$6</x:f>
        <x:v>46419</x:v>
      </x:c>
      <x:c r="F46" s="42" t="str">
        <x:f>IF('Drivers'!$D$10="","",'Drivers'!$D$10)</x:f>
        <x:v>Working Draft</x:v>
      </x:c>
      <x:c r="G46" s="42" t="str">
        <x:f>IF('GL Mapping'!I24="",'GL Mapping'!C24,'GL Mapping'!I24)</x:f>
        <x:v>710100</x:v>
      </x:c>
      <x:c r="H46" s="42" t="str">
        <x:v>Other below-NOI cash costs</x:v>
      </x:c>
      <x:c r="I46" s="42" t="str">
        <x:f>IF('Drivers'!$D$11="","",'Drivers'!$D$11)</x:f>
        <x:v>Short-Term Rentals</x:v>
      </x:c>
      <x:c r="J46" s="42" t="str">
        <x:f>IF('Drivers'!$D$8="","",'Drivers'!$D$8)</x:f>
        <x:v>USD</x:v>
      </x:c>
      <x:c r="K46" s="42" t="str">
        <x:f>IF('Drivers'!$D$21="","",'Drivers'!$D$21)</x:f>
        <x:v>Calendar</x:v>
      </x:c>
      <x:c r="L46" s="42" t="str">
        <x:f>IF('Drivers'!$D$9="","",'Drivers'!$D$9)</x:f>
        <x:v>Accrual</x:v>
      </x:c>
      <x:c r="M46" s="70" t="str">
        <x:f>IF('Drivers'!$D$12="","",'Drivers'!$D$12)</x:f>
      </x:c>
      <x:c r="N46" s="42" t="str">
        <x:f>IF('Drivers'!$D$15="","",'Drivers'!$D$15)</x:f>
      </x:c>
      <x:c r="O46" s="42" t="str">
        <x:v>below_noi</x:v>
      </x:c>
      <x:c r="P46" s="42" t="str">
        <x:v>below_noi</x:v>
      </x:c>
      <x:c r="Q46" s="42" t="n">
        <x:v>1</x:v>
      </x:c>
      <x:c r="R46" s="51" t="str">
        <x:f>IF(V46="Closed: excluded","",IF(ISNUMBER('STR Build'!G55),'STR Build'!G55,""))</x:f>
      </x:c>
      <x:c r="S46" s="42" t="str">
        <x:v>STR Build!G55</x:v>
      </x:c>
      <x:c r="T46" s="42" t="str">
        <x:v>Formula</x:v>
      </x:c>
      <x:c r="U46" s="67" t="str">
        <x:f>IF(ISNUMBER(R46),IF(R46=0,"Populated zero","Populated"),"Missing")</x:f>
        <x:v>Missing</x:v>
      </x:c>
      <x:c r="V46" s="67" t="str">
        <x:f>IF(AND(ISNUMBER('Drivers'!$D$12),E46&lt;='Drivers'!$D$12),"Closed: excluded","Open forecast")</x:f>
        <x:v>Open forecast</x:v>
      </x:c>
    </x:row>
    <x:row r="47" ht="22" customHeight="1">
      <x:c r="A47" s="42"/>
      <x:c r="B47" s="42"/>
      <x:c r="C47" s="42" t="str">
        <x:f>IF('Drivers'!$D$5="","",'Drivers'!$D$5)</x:f>
      </x:c>
      <x:c r="D47" s="42" t="str">
        <x:f>IF('Drivers'!$D$4="","",'Drivers'!$D$4)</x:f>
      </x:c>
      <x:c r="E47" s="69" t="n">
        <x:f>'STR Build'!G$6</x:f>
        <x:v>46419</x:v>
      </x:c>
      <x:c r="F47" s="42" t="str">
        <x:f>IF('Drivers'!$D$10="","",'Drivers'!$D$10)</x:f>
        <x:v>Working Draft</x:v>
      </x:c>
      <x:c r="G47" s="42" t="str">
        <x:f>IF('GL Mapping'!I25="",'GL Mapping'!C25,'GL Mapping'!I25)</x:f>
        <x:v>720100</x:v>
      </x:c>
      <x:c r="H47" s="42" t="str">
        <x:v>Debt interest</x:v>
      </x:c>
      <x:c r="I47" s="42" t="str">
        <x:f>IF('Drivers'!$D$11="","",'Drivers'!$D$11)</x:f>
        <x:v>Short-Term Rentals</x:v>
      </x:c>
      <x:c r="J47" s="42" t="str">
        <x:f>IF('Drivers'!$D$8="","",'Drivers'!$D$8)</x:f>
        <x:v>USD</x:v>
      </x:c>
      <x:c r="K47" s="42" t="str">
        <x:f>IF('Drivers'!$D$21="","",'Drivers'!$D$21)</x:f>
        <x:v>Calendar</x:v>
      </x:c>
      <x:c r="L47" s="42" t="str">
        <x:f>IF('Drivers'!$D$9="","",'Drivers'!$D$9)</x:f>
        <x:v>Accrual</x:v>
      </x:c>
      <x:c r="M47" s="70" t="str">
        <x:f>IF('Drivers'!$D$12="","",'Drivers'!$D$12)</x:f>
      </x:c>
      <x:c r="N47" s="42" t="str">
        <x:f>IF('Drivers'!$D$15="","",'Drivers'!$D$15)</x:f>
      </x:c>
      <x:c r="O47" s="42" t="str">
        <x:v>debt</x:v>
      </x:c>
      <x:c r="P47" s="42" t="str">
        <x:v>below_noi</x:v>
      </x:c>
      <x:c r="Q47" s="42" t="n">
        <x:v>1</x:v>
      </x:c>
      <x:c r="R47" s="51" t="str">
        <x:f>IF(V47="Closed: excluded","",IF(ISNUMBER('STR Build'!G56),'STR Build'!G56,""))</x:f>
      </x:c>
      <x:c r="S47" s="42" t="str">
        <x:v>STR Build!G56</x:v>
      </x:c>
      <x:c r="T47" s="42" t="str">
        <x:v>Formula</x:v>
      </x:c>
      <x:c r="U47" s="67" t="str">
        <x:f>IF(ISNUMBER(R47),IF(R47=0,"Populated zero","Populated"),"Missing")</x:f>
        <x:v>Missing</x:v>
      </x:c>
      <x:c r="V47" s="67" t="str">
        <x:f>IF(AND(ISNUMBER('Drivers'!$D$12),E47&lt;='Drivers'!$D$12),"Closed: excluded","Open forecast")</x:f>
        <x:v>Open forecast</x:v>
      </x:c>
    </x:row>
    <x:row r="48" ht="22" customHeight="1">
      <x:c r="A48" s="42"/>
      <x:c r="B48" s="42"/>
      <x:c r="C48" s="42" t="str">
        <x:f>IF('Drivers'!$D$5="","",'Drivers'!$D$5)</x:f>
      </x:c>
      <x:c r="D48" s="42" t="str">
        <x:f>IF('Drivers'!$D$4="","",'Drivers'!$D$4)</x:f>
      </x:c>
      <x:c r="E48" s="69" t="n">
        <x:f>'STR Build'!G$6</x:f>
        <x:v>46419</x:v>
      </x:c>
      <x:c r="F48" s="42" t="str">
        <x:f>IF('Drivers'!$D$10="","",'Drivers'!$D$10)</x:f>
        <x:v>Working Draft</x:v>
      </x:c>
      <x:c r="G48" s="42" t="str">
        <x:f>IF('GL Mapping'!I26="",'GL Mapping'!C26,'GL Mapping'!I26)</x:f>
        <x:v>720200</x:v>
      </x:c>
      <x:c r="H48" s="42" t="str">
        <x:v>Debt principal</x:v>
      </x:c>
      <x:c r="I48" s="42" t="str">
        <x:f>IF('Drivers'!$D$11="","",'Drivers'!$D$11)</x:f>
        <x:v>Short-Term Rentals</x:v>
      </x:c>
      <x:c r="J48" s="42" t="str">
        <x:f>IF('Drivers'!$D$8="","",'Drivers'!$D$8)</x:f>
        <x:v>USD</x:v>
      </x:c>
      <x:c r="K48" s="42" t="str">
        <x:f>IF('Drivers'!$D$21="","",'Drivers'!$D$21)</x:f>
        <x:v>Calendar</x:v>
      </x:c>
      <x:c r="L48" s="42" t="str">
        <x:f>IF('Drivers'!$D$9="","",'Drivers'!$D$9)</x:f>
        <x:v>Accrual</x:v>
      </x:c>
      <x:c r="M48" s="70" t="str">
        <x:f>IF('Drivers'!$D$12="","",'Drivers'!$D$12)</x:f>
      </x:c>
      <x:c r="N48" s="42" t="str">
        <x:f>IF('Drivers'!$D$15="","",'Drivers'!$D$15)</x:f>
      </x:c>
      <x:c r="O48" s="42" t="str">
        <x:v>debt</x:v>
      </x:c>
      <x:c r="P48" s="42" t="str">
        <x:v>below_noi</x:v>
      </x:c>
      <x:c r="Q48" s="42" t="n">
        <x:v>1</x:v>
      </x:c>
      <x:c r="R48" s="51" t="str">
        <x:f>IF(V48="Closed: excluded","",IF(ISNUMBER('STR Build'!G57),'STR Build'!G57,""))</x:f>
      </x:c>
      <x:c r="S48" s="42" t="str">
        <x:v>STR Build!G57</x:v>
      </x:c>
      <x:c r="T48" s="42" t="str">
        <x:v>Formula</x:v>
      </x:c>
      <x:c r="U48" s="67" t="str">
        <x:f>IF(ISNUMBER(R48),IF(R48=0,"Populated zero","Populated"),"Missing")</x:f>
        <x:v>Missing</x:v>
      </x:c>
      <x:c r="V48" s="67" t="str">
        <x:f>IF(AND(ISNUMBER('Drivers'!$D$12),E48&lt;='Drivers'!$D$12),"Closed: excluded","Open forecast")</x:f>
        <x:v>Open forecast</x:v>
      </x:c>
    </x:row>
    <x:row r="49" ht="22" customHeight="1">
      <x:c r="A49" s="42"/>
      <x:c r="B49" s="42"/>
      <x:c r="C49" s="42" t="str">
        <x:f>IF('Drivers'!$D$5="","",'Drivers'!$D$5)</x:f>
      </x:c>
      <x:c r="D49" s="42" t="str">
        <x:f>IF('Drivers'!$D$4="","",'Drivers'!$D$4)</x:f>
      </x:c>
      <x:c r="E49" s="69" t="n">
        <x:f>'STR Build'!G$6</x:f>
        <x:v>46419</x:v>
      </x:c>
      <x:c r="F49" s="42" t="str">
        <x:f>IF('Drivers'!$D$10="","",'Drivers'!$D$10)</x:f>
        <x:v>Working Draft</x:v>
      </x:c>
      <x:c r="G49" s="42" t="str">
        <x:f>IF('GL Mapping'!I27="",'GL Mapping'!C27,'GL Mapping'!I27)</x:f>
        <x:v>730100</x:v>
      </x:c>
      <x:c r="H49" s="42" t="str">
        <x:v>Capital expenditure</x:v>
      </x:c>
      <x:c r="I49" s="42" t="str">
        <x:f>IF('Drivers'!$D$11="","",'Drivers'!$D$11)</x:f>
        <x:v>Short-Term Rentals</x:v>
      </x:c>
      <x:c r="J49" s="42" t="str">
        <x:f>IF('Drivers'!$D$8="","",'Drivers'!$D$8)</x:f>
        <x:v>USD</x:v>
      </x:c>
      <x:c r="K49" s="42" t="str">
        <x:f>IF('Drivers'!$D$21="","",'Drivers'!$D$21)</x:f>
        <x:v>Calendar</x:v>
      </x:c>
      <x:c r="L49" s="42" t="str">
        <x:f>IF('Drivers'!$D$9="","",'Drivers'!$D$9)</x:f>
        <x:v>Accrual</x:v>
      </x:c>
      <x:c r="M49" s="70" t="str">
        <x:f>IF('Drivers'!$D$12="","",'Drivers'!$D$12)</x:f>
      </x:c>
      <x:c r="N49" s="42" t="str">
        <x:f>IF('Drivers'!$D$15="","",'Drivers'!$D$15)</x:f>
      </x:c>
      <x:c r="O49" s="42" t="str">
        <x:v>capital</x:v>
      </x:c>
      <x:c r="P49" s="42" t="str">
        <x:v>below_noi</x:v>
      </x:c>
      <x:c r="Q49" s="42" t="n">
        <x:v>1</x:v>
      </x:c>
      <x:c r="R49" s="51" t="str">
        <x:f>IF(V49="Closed: excluded","",IF(ISNUMBER('STR Build'!G58),'STR Build'!G58,""))</x:f>
      </x:c>
      <x:c r="S49" s="42" t="str">
        <x:v>STR Build!G58</x:v>
      </x:c>
      <x:c r="T49" s="42" t="str">
        <x:v>Formula</x:v>
      </x:c>
      <x:c r="U49" s="67" t="str">
        <x:f>IF(ISNUMBER(R49),IF(R49=0,"Populated zero","Populated"),"Missing")</x:f>
        <x:v>Missing</x:v>
      </x:c>
      <x:c r="V49" s="67" t="str">
        <x:f>IF(AND(ISNUMBER('Drivers'!$D$12),E49&lt;='Drivers'!$D$12),"Closed: excluded","Open forecast")</x:f>
        <x:v>Open forecast</x:v>
      </x:c>
    </x:row>
    <x:row r="50" ht="22" customHeight="1">
      <x:c r="A50" s="42"/>
      <x:c r="B50" s="42"/>
      <x:c r="C50" s="42" t="str">
        <x:f>IF('Drivers'!$D$5="","",'Drivers'!$D$5)</x:f>
      </x:c>
      <x:c r="D50" s="42" t="str">
        <x:f>IF('Drivers'!$D$4="","",'Drivers'!$D$4)</x:f>
      </x:c>
      <x:c r="E50" s="69" t="n">
        <x:f>'STR Build'!G$6</x:f>
        <x:v>46419</x:v>
      </x:c>
      <x:c r="F50" s="42" t="str">
        <x:f>IF('Drivers'!$D$10="","",'Drivers'!$D$10)</x:f>
        <x:v>Working Draft</x:v>
      </x:c>
      <x:c r="G50" s="42" t="str">
        <x:f>IF('GL Mapping'!I28="",'GL Mapping'!C28,'GL Mapping'!I28)</x:f>
        <x:v>740100</x:v>
      </x:c>
      <x:c r="H50" s="42" t="str">
        <x:v>Working-capital cash use</x:v>
      </x:c>
      <x:c r="I50" s="42" t="str">
        <x:f>IF('Drivers'!$D$11="","",'Drivers'!$D$11)</x:f>
        <x:v>Short-Term Rentals</x:v>
      </x:c>
      <x:c r="J50" s="42" t="str">
        <x:f>IF('Drivers'!$D$8="","",'Drivers'!$D$8)</x:f>
        <x:v>USD</x:v>
      </x:c>
      <x:c r="K50" s="42" t="str">
        <x:f>IF('Drivers'!$D$21="","",'Drivers'!$D$21)</x:f>
        <x:v>Calendar</x:v>
      </x:c>
      <x:c r="L50" s="42" t="str">
        <x:f>IF('Drivers'!$D$9="","",'Drivers'!$D$9)</x:f>
        <x:v>Accrual</x:v>
      </x:c>
      <x:c r="M50" s="70" t="str">
        <x:f>IF('Drivers'!$D$12="","",'Drivers'!$D$12)</x:f>
      </x:c>
      <x:c r="N50" s="42" t="str">
        <x:f>IF('Drivers'!$D$15="","",'Drivers'!$D$15)</x:f>
      </x:c>
      <x:c r="O50" s="42" t="str">
        <x:v>below_noi</x:v>
      </x:c>
      <x:c r="P50" s="42" t="str">
        <x:v>below_noi</x:v>
      </x:c>
      <x:c r="Q50" s="42" t="n">
        <x:v>1</x:v>
      </x:c>
      <x:c r="R50" s="51" t="str">
        <x:f>IF(V50="Closed: excluded","",IF(ISNUMBER('STR Build'!G59),'STR Build'!G59,""))</x:f>
      </x:c>
      <x:c r="S50" s="42" t="str">
        <x:v>STR Build!G59</x:v>
      </x:c>
      <x:c r="T50" s="42" t="str">
        <x:v>Formula</x:v>
      </x:c>
      <x:c r="U50" s="67" t="str">
        <x:f>IF(ISNUMBER(R50),IF(R50=0,"Populated zero","Populated"),"Missing")</x:f>
        <x:v>Missing</x:v>
      </x:c>
      <x:c r="V50" s="67" t="str">
        <x:f>IF(AND(ISNUMBER('Drivers'!$D$12),E50&lt;='Drivers'!$D$12),"Closed: excluded","Open forecast")</x:f>
        <x:v>Open forecast</x:v>
      </x:c>
    </x:row>
    <x:row r="51" ht="22" customHeight="1">
      <x:c r="A51" s="42"/>
      <x:c r="B51" s="42"/>
      <x:c r="C51" s="42" t="str">
        <x:f>IF('Drivers'!$D$5="","",'Drivers'!$D$5)</x:f>
      </x:c>
      <x:c r="D51" s="42" t="str">
        <x:f>IF('Drivers'!$D$4="","",'Drivers'!$D$4)</x:f>
      </x:c>
      <x:c r="E51" s="69" t="n">
        <x:f>'STR Build'!H$6</x:f>
        <x:v>46447</x:v>
      </x:c>
      <x:c r="F51" s="42" t="str">
        <x:f>IF('Drivers'!$D$10="","",'Drivers'!$D$10)</x:f>
        <x:v>Working Draft</x:v>
      </x:c>
      <x:c r="G51" s="42" t="str">
        <x:f>IF('GL Mapping'!I7="",'GL Mapping'!C7,'GL Mapping'!I7)</x:f>
        <x:v>410100</x:v>
      </x:c>
      <x:c r="H51" s="42" t="str">
        <x:v>Lodging revenue</x:v>
      </x:c>
      <x:c r="I51" s="42" t="str">
        <x:f>IF('Drivers'!$D$11="","",'Drivers'!$D$11)</x:f>
        <x:v>Short-Term Rentals</x:v>
      </x:c>
      <x:c r="J51" s="42" t="str">
        <x:f>IF('Drivers'!$D$8="","",'Drivers'!$D$8)</x:f>
        <x:v>USD</x:v>
      </x:c>
      <x:c r="K51" s="42" t="str">
        <x:f>IF('Drivers'!$D$21="","",'Drivers'!$D$21)</x:f>
        <x:v>Calendar</x:v>
      </x:c>
      <x:c r="L51" s="42" t="str">
        <x:f>IF('Drivers'!$D$9="","",'Drivers'!$D$9)</x:f>
        <x:v>Accrual</x:v>
      </x:c>
      <x:c r="M51" s="70" t="str">
        <x:f>IF('Drivers'!$D$12="","",'Drivers'!$D$12)</x:f>
      </x:c>
      <x:c r="N51" s="42" t="str">
        <x:f>IF('Drivers'!$D$15="","",'Drivers'!$D$15)</x:f>
      </x:c>
      <x:c r="O51" s="42" t="str">
        <x:v>income</x:v>
      </x:c>
      <x:c r="P51" s="42" t="str">
        <x:v>above_noi</x:v>
      </x:c>
      <x:c r="Q51" s="42" t="n">
        <x:v>1</x:v>
      </x:c>
      <x:c r="R51" s="51" t="str">
        <x:f>IF(V51="Closed: excluded","",IF(ISNUMBER('STR Build'!H28),'STR Build'!H28,""))</x:f>
      </x:c>
      <x:c r="S51" s="42" t="str">
        <x:v>STR Build!H28</x:v>
      </x:c>
      <x:c r="T51" s="42" t="str">
        <x:v>Formula</x:v>
      </x:c>
      <x:c r="U51" s="67" t="str">
        <x:f>IF(ISNUMBER(R51),IF(R51=0,"Populated zero","Populated"),"Missing")</x:f>
        <x:v>Missing</x:v>
      </x:c>
      <x:c r="V51" s="67" t="str">
        <x:f>IF(AND(ISNUMBER('Drivers'!$D$12),E51&lt;='Drivers'!$D$12),"Closed: excluded","Open forecast")</x:f>
        <x:v>Open forecast</x:v>
      </x:c>
    </x:row>
    <x:row r="52" ht="22" customHeight="1">
      <x:c r="A52" s="42"/>
      <x:c r="B52" s="42"/>
      <x:c r="C52" s="42" t="str">
        <x:f>IF('Drivers'!$D$5="","",'Drivers'!$D$5)</x:f>
      </x:c>
      <x:c r="D52" s="42" t="str">
        <x:f>IF('Drivers'!$D$4="","",'Drivers'!$D$4)</x:f>
      </x:c>
      <x:c r="E52" s="69" t="n">
        <x:f>'STR Build'!H$6</x:f>
        <x:v>46447</x:v>
      </x:c>
      <x:c r="F52" s="42" t="str">
        <x:f>IF('Drivers'!$D$10="","",'Drivers'!$D$10)</x:f>
        <x:v>Working Draft</x:v>
      </x:c>
      <x:c r="G52" s="42" t="str">
        <x:f>IF('GL Mapping'!I8="",'GL Mapping'!C8,'GL Mapping'!I8)</x:f>
        <x:v>410200</x:v>
      </x:c>
      <x:c r="H52" s="42" t="str">
        <x:v>Cleaning fee income</x:v>
      </x:c>
      <x:c r="I52" s="42" t="str">
        <x:f>IF('Drivers'!$D$11="","",'Drivers'!$D$11)</x:f>
        <x:v>Short-Term Rentals</x:v>
      </x:c>
      <x:c r="J52" s="42" t="str">
        <x:f>IF('Drivers'!$D$8="","",'Drivers'!$D$8)</x:f>
        <x:v>USD</x:v>
      </x:c>
      <x:c r="K52" s="42" t="str">
        <x:f>IF('Drivers'!$D$21="","",'Drivers'!$D$21)</x:f>
        <x:v>Calendar</x:v>
      </x:c>
      <x:c r="L52" s="42" t="str">
        <x:f>IF('Drivers'!$D$9="","",'Drivers'!$D$9)</x:f>
        <x:v>Accrual</x:v>
      </x:c>
      <x:c r="M52" s="70" t="str">
        <x:f>IF('Drivers'!$D$12="","",'Drivers'!$D$12)</x:f>
      </x:c>
      <x:c r="N52" s="42" t="str">
        <x:f>IF('Drivers'!$D$15="","",'Drivers'!$D$15)</x:f>
      </x:c>
      <x:c r="O52" s="42" t="str">
        <x:v>income</x:v>
      </x:c>
      <x:c r="P52" s="42" t="str">
        <x:v>above_noi</x:v>
      </x:c>
      <x:c r="Q52" s="42" t="n">
        <x:v>1</x:v>
      </x:c>
      <x:c r="R52" s="51" t="str">
        <x:f>IF(V52="Closed: excluded","",IF(ISNUMBER('STR Build'!H29),'STR Build'!H29,""))</x:f>
      </x:c>
      <x:c r="S52" s="42" t="str">
        <x:v>STR Build!H29</x:v>
      </x:c>
      <x:c r="T52" s="42" t="str">
        <x:v>Formula</x:v>
      </x:c>
      <x:c r="U52" s="67" t="str">
        <x:f>IF(ISNUMBER(R52),IF(R52=0,"Populated zero","Populated"),"Missing")</x:f>
        <x:v>Missing</x:v>
      </x:c>
      <x:c r="V52" s="67" t="str">
        <x:f>IF(AND(ISNUMBER('Drivers'!$D$12),E52&lt;='Drivers'!$D$12),"Closed: excluded","Open forecast")</x:f>
        <x:v>Open forecast</x:v>
      </x:c>
    </x:row>
    <x:row r="53" ht="22" customHeight="1">
      <x:c r="A53" s="42"/>
      <x:c r="B53" s="42"/>
      <x:c r="C53" s="42" t="str">
        <x:f>IF('Drivers'!$D$5="","",'Drivers'!$D$5)</x:f>
      </x:c>
      <x:c r="D53" s="42" t="str">
        <x:f>IF('Drivers'!$D$4="","",'Drivers'!$D$4)</x:f>
      </x:c>
      <x:c r="E53" s="69" t="n">
        <x:f>'STR Build'!H$6</x:f>
        <x:v>46447</x:v>
      </x:c>
      <x:c r="F53" s="42" t="str">
        <x:f>IF('Drivers'!$D$10="","",'Drivers'!$D$10)</x:f>
        <x:v>Working Draft</x:v>
      </x:c>
      <x:c r="G53" s="42" t="str">
        <x:f>IF('GL Mapping'!I9="",'GL Mapping'!C9,'GL Mapping'!I9)</x:f>
        <x:v>410300</x:v>
      </x:c>
      <x:c r="H53" s="42" t="str">
        <x:v>Other guest fee income</x:v>
      </x:c>
      <x:c r="I53" s="42" t="str">
        <x:f>IF('Drivers'!$D$11="","",'Drivers'!$D$11)</x:f>
        <x:v>Short-Term Rentals</x:v>
      </x:c>
      <x:c r="J53" s="42" t="str">
        <x:f>IF('Drivers'!$D$8="","",'Drivers'!$D$8)</x:f>
        <x:v>USD</x:v>
      </x:c>
      <x:c r="K53" s="42" t="str">
        <x:f>IF('Drivers'!$D$21="","",'Drivers'!$D$21)</x:f>
        <x:v>Calendar</x:v>
      </x:c>
      <x:c r="L53" s="42" t="str">
        <x:f>IF('Drivers'!$D$9="","",'Drivers'!$D$9)</x:f>
        <x:v>Accrual</x:v>
      </x:c>
      <x:c r="M53" s="70" t="str">
        <x:f>IF('Drivers'!$D$12="","",'Drivers'!$D$12)</x:f>
      </x:c>
      <x:c r="N53" s="42" t="str">
        <x:f>IF('Drivers'!$D$15="","",'Drivers'!$D$15)</x:f>
      </x:c>
      <x:c r="O53" s="42" t="str">
        <x:v>income</x:v>
      </x:c>
      <x:c r="P53" s="42" t="str">
        <x:v>above_noi</x:v>
      </x:c>
      <x:c r="Q53" s="42" t="n">
        <x:v>1</x:v>
      </x:c>
      <x:c r="R53" s="51" t="str">
        <x:f>IF(V53="Closed: excluded","",IF(ISNUMBER('STR Build'!H30),'STR Build'!H30,""))</x:f>
      </x:c>
      <x:c r="S53" s="42" t="str">
        <x:v>STR Build!H30</x:v>
      </x:c>
      <x:c r="T53" s="42" t="str">
        <x:v>Formula</x:v>
      </x:c>
      <x:c r="U53" s="67" t="str">
        <x:f>IF(ISNUMBER(R53),IF(R53=0,"Populated zero","Populated"),"Missing")</x:f>
        <x:v>Missing</x:v>
      </x:c>
      <x:c r="V53" s="67" t="str">
        <x:f>IF(AND(ISNUMBER('Drivers'!$D$12),E53&lt;='Drivers'!$D$12),"Closed: excluded","Open forecast")</x:f>
        <x:v>Open forecast</x:v>
      </x:c>
    </x:row>
    <x:row r="54" ht="22" customHeight="1">
      <x:c r="A54" s="42"/>
      <x:c r="B54" s="42"/>
      <x:c r="C54" s="42" t="str">
        <x:f>IF('Drivers'!$D$5="","",'Drivers'!$D$5)</x:f>
      </x:c>
      <x:c r="D54" s="42" t="str">
        <x:f>IF('Drivers'!$D$4="","",'Drivers'!$D$4)</x:f>
      </x:c>
      <x:c r="E54" s="69" t="n">
        <x:f>'STR Build'!H$6</x:f>
        <x:v>46447</x:v>
      </x:c>
      <x:c r="F54" s="42" t="str">
        <x:f>IF('Drivers'!$D$10="","",'Drivers'!$D$10)</x:f>
        <x:v>Working Draft</x:v>
      </x:c>
      <x:c r="G54" s="42" t="str">
        <x:f>IF('GL Mapping'!I10="",'GL Mapping'!C10,'GL Mapping'!I10)</x:f>
        <x:v>419100</x:v>
      </x:c>
      <x:c r="H54" s="42" t="str">
        <x:v>Refunds and discounts</x:v>
      </x:c>
      <x:c r="I54" s="42" t="str">
        <x:f>IF('Drivers'!$D$11="","",'Drivers'!$D$11)</x:f>
        <x:v>Short-Term Rentals</x:v>
      </x:c>
      <x:c r="J54" s="42" t="str">
        <x:f>IF('Drivers'!$D$8="","",'Drivers'!$D$8)</x:f>
        <x:v>USD</x:v>
      </x:c>
      <x:c r="K54" s="42" t="str">
        <x:f>IF('Drivers'!$D$21="","",'Drivers'!$D$21)</x:f>
        <x:v>Calendar</x:v>
      </x:c>
      <x:c r="L54" s="42" t="str">
        <x:f>IF('Drivers'!$D$9="","",'Drivers'!$D$9)</x:f>
        <x:v>Accrual</x:v>
      </x:c>
      <x:c r="M54" s="70" t="str">
        <x:f>IF('Drivers'!$D$12="","",'Drivers'!$D$12)</x:f>
      </x:c>
      <x:c r="N54" s="42" t="str">
        <x:f>IF('Drivers'!$D$15="","",'Drivers'!$D$15)</x:f>
      </x:c>
      <x:c r="O54" s="42" t="str">
        <x:v>contra_income</x:v>
      </x:c>
      <x:c r="P54" s="42" t="str">
        <x:v>above_noi</x:v>
      </x:c>
      <x:c r="Q54" s="42" t="n">
        <x:v>1</x:v>
      </x:c>
      <x:c r="R54" s="51" t="str">
        <x:f>IF(V54="Closed: excluded","",IF(ISNUMBER('STR Build'!H32),'STR Build'!H32,""))</x:f>
      </x:c>
      <x:c r="S54" s="42" t="str">
        <x:v>STR Build!H32</x:v>
      </x:c>
      <x:c r="T54" s="42" t="str">
        <x:v>Formula</x:v>
      </x:c>
      <x:c r="U54" s="67" t="str">
        <x:f>IF(ISNUMBER(R54),IF(R54=0,"Populated zero","Populated"),"Missing")</x:f>
        <x:v>Missing</x:v>
      </x:c>
      <x:c r="V54" s="67" t="str">
        <x:f>IF(AND(ISNUMBER('Drivers'!$D$12),E54&lt;='Drivers'!$D$12),"Closed: excluded","Open forecast")</x:f>
        <x:v>Open forecast</x:v>
      </x:c>
    </x:row>
    <x:row r="55" ht="22" customHeight="1">
      <x:c r="A55" s="42"/>
      <x:c r="B55" s="42"/>
      <x:c r="C55" s="42" t="str">
        <x:f>IF('Drivers'!$D$5="","",'Drivers'!$D$5)</x:f>
      </x:c>
      <x:c r="D55" s="42" t="str">
        <x:f>IF('Drivers'!$D$4="","",'Drivers'!$D$4)</x:f>
      </x:c>
      <x:c r="E55" s="69" t="n">
        <x:f>'STR Build'!H$6</x:f>
        <x:v>46447</x:v>
      </x:c>
      <x:c r="F55" s="42" t="str">
        <x:f>IF('Drivers'!$D$10="","",'Drivers'!$D$10)</x:f>
        <x:v>Working Draft</x:v>
      </x:c>
      <x:c r="G55" s="42" t="str">
        <x:f>IF('GL Mapping'!I11="",'GL Mapping'!C11,'GL Mapping'!I11)</x:f>
        <x:v>419200</x:v>
      </x:c>
      <x:c r="H55" s="42" t="str">
        <x:v>Bad debt</x:v>
      </x:c>
      <x:c r="I55" s="42" t="str">
        <x:f>IF('Drivers'!$D$11="","",'Drivers'!$D$11)</x:f>
        <x:v>Short-Term Rentals</x:v>
      </x:c>
      <x:c r="J55" s="42" t="str">
        <x:f>IF('Drivers'!$D$8="","",'Drivers'!$D$8)</x:f>
        <x:v>USD</x:v>
      </x:c>
      <x:c r="K55" s="42" t="str">
        <x:f>IF('Drivers'!$D$21="","",'Drivers'!$D$21)</x:f>
        <x:v>Calendar</x:v>
      </x:c>
      <x:c r="L55" s="42" t="str">
        <x:f>IF('Drivers'!$D$9="","",'Drivers'!$D$9)</x:f>
        <x:v>Accrual</x:v>
      </x:c>
      <x:c r="M55" s="70" t="str">
        <x:f>IF('Drivers'!$D$12="","",'Drivers'!$D$12)</x:f>
      </x:c>
      <x:c r="N55" s="42" t="str">
        <x:f>IF('Drivers'!$D$15="","",'Drivers'!$D$15)</x:f>
      </x:c>
      <x:c r="O55" s="42" t="str">
        <x:v>contra_income</x:v>
      </x:c>
      <x:c r="P55" s="42" t="str">
        <x:v>above_noi</x:v>
      </x:c>
      <x:c r="Q55" s="42" t="n">
        <x:v>1</x:v>
      </x:c>
      <x:c r="R55" s="51" t="str">
        <x:f>IF(V55="Closed: excluded","",IF(ISNUMBER('STR Build'!H33),'STR Build'!H33,""))</x:f>
      </x:c>
      <x:c r="S55" s="42" t="str">
        <x:v>STR Build!H33</x:v>
      </x:c>
      <x:c r="T55" s="42" t="str">
        <x:v>Formula</x:v>
      </x:c>
      <x:c r="U55" s="67" t="str">
        <x:f>IF(ISNUMBER(R55),IF(R55=0,"Populated zero","Populated"),"Missing")</x:f>
        <x:v>Missing</x:v>
      </x:c>
      <x:c r="V55" s="67" t="str">
        <x:f>IF(AND(ISNUMBER('Drivers'!$D$12),E55&lt;='Drivers'!$D$12),"Closed: excluded","Open forecast")</x:f>
        <x:v>Open forecast</x:v>
      </x:c>
    </x:row>
    <x:row r="56" ht="22" customHeight="1">
      <x:c r="A56" s="42"/>
      <x:c r="B56" s="42"/>
      <x:c r="C56" s="42" t="str">
        <x:f>IF('Drivers'!$D$5="","",'Drivers'!$D$5)</x:f>
      </x:c>
      <x:c r="D56" s="42" t="str">
        <x:f>IF('Drivers'!$D$4="","",'Drivers'!$D$4)</x:f>
      </x:c>
      <x:c r="E56" s="69" t="n">
        <x:f>'STR Build'!H$6</x:f>
        <x:v>46447</x:v>
      </x:c>
      <x:c r="F56" s="42" t="str">
        <x:f>IF('Drivers'!$D$10="","",'Drivers'!$D$10)</x:f>
        <x:v>Working Draft</x:v>
      </x:c>
      <x:c r="G56" s="42" t="str">
        <x:f>IF('GL Mapping'!I12="",'GL Mapping'!C12,'GL Mapping'!I12)</x:f>
        <x:v>610100</x:v>
      </x:c>
      <x:c r="H56" s="42" t="str">
        <x:v>Channel commissions</x:v>
      </x:c>
      <x:c r="I56" s="42" t="str">
        <x:f>IF('Drivers'!$D$11="","",'Drivers'!$D$11)</x:f>
        <x:v>Short-Term Rentals</x:v>
      </x:c>
      <x:c r="J56" s="42" t="str">
        <x:f>IF('Drivers'!$D$8="","",'Drivers'!$D$8)</x:f>
        <x:v>USD</x:v>
      </x:c>
      <x:c r="K56" s="42" t="str">
        <x:f>IF('Drivers'!$D$21="","",'Drivers'!$D$21)</x:f>
        <x:v>Calendar</x:v>
      </x:c>
      <x:c r="L56" s="42" t="str">
        <x:f>IF('Drivers'!$D$9="","",'Drivers'!$D$9)</x:f>
        <x:v>Accrual</x:v>
      </x:c>
      <x:c r="M56" s="70" t="str">
        <x:f>IF('Drivers'!$D$12="","",'Drivers'!$D$12)</x:f>
      </x:c>
      <x:c r="N56" s="42" t="str">
        <x:f>IF('Drivers'!$D$15="","",'Drivers'!$D$15)</x:f>
      </x:c>
      <x:c r="O56" s="42" t="str">
        <x:v>expense</x:v>
      </x:c>
      <x:c r="P56" s="42" t="str">
        <x:v>above_noi</x:v>
      </x:c>
      <x:c r="Q56" s="42" t="n">
        <x:v>1</x:v>
      </x:c>
      <x:c r="R56" s="51" t="str">
        <x:f>IF(V56="Closed: excluded","",IF(ISNUMBER('STR Build'!H36),'STR Build'!H36,""))</x:f>
      </x:c>
      <x:c r="S56" s="42" t="str">
        <x:v>STR Build!H36</x:v>
      </x:c>
      <x:c r="T56" s="42" t="str">
        <x:v>Formula</x:v>
      </x:c>
      <x:c r="U56" s="67" t="str">
        <x:f>IF(ISNUMBER(R56),IF(R56=0,"Populated zero","Populated"),"Missing")</x:f>
        <x:v>Missing</x:v>
      </x:c>
      <x:c r="V56" s="67" t="str">
        <x:f>IF(AND(ISNUMBER('Drivers'!$D$12),E56&lt;='Drivers'!$D$12),"Closed: excluded","Open forecast")</x:f>
        <x:v>Open forecast</x:v>
      </x:c>
    </x:row>
    <x:row r="57" ht="22" customHeight="1">
      <x:c r="A57" s="42"/>
      <x:c r="B57" s="42"/>
      <x:c r="C57" s="42" t="str">
        <x:f>IF('Drivers'!$D$5="","",'Drivers'!$D$5)</x:f>
      </x:c>
      <x:c r="D57" s="42" t="str">
        <x:f>IF('Drivers'!$D$4="","",'Drivers'!$D$4)</x:f>
      </x:c>
      <x:c r="E57" s="69" t="n">
        <x:f>'STR Build'!H$6</x:f>
        <x:v>46447</x:v>
      </x:c>
      <x:c r="F57" s="42" t="str">
        <x:f>IF('Drivers'!$D$10="","",'Drivers'!$D$10)</x:f>
        <x:v>Working Draft</x:v>
      </x:c>
      <x:c r="G57" s="42" t="str">
        <x:f>IF('GL Mapping'!I13="",'GL Mapping'!C13,'GL Mapping'!I13)</x:f>
        <x:v>610200</x:v>
      </x:c>
      <x:c r="H57" s="42" t="str">
        <x:v>Cleaning expense</x:v>
      </x:c>
      <x:c r="I57" s="42" t="str">
        <x:f>IF('Drivers'!$D$11="","",'Drivers'!$D$11)</x:f>
        <x:v>Short-Term Rentals</x:v>
      </x:c>
      <x:c r="J57" s="42" t="str">
        <x:f>IF('Drivers'!$D$8="","",'Drivers'!$D$8)</x:f>
        <x:v>USD</x:v>
      </x:c>
      <x:c r="K57" s="42" t="str">
        <x:f>IF('Drivers'!$D$21="","",'Drivers'!$D$21)</x:f>
        <x:v>Calendar</x:v>
      </x:c>
      <x:c r="L57" s="42" t="str">
        <x:f>IF('Drivers'!$D$9="","",'Drivers'!$D$9)</x:f>
        <x:v>Accrual</x:v>
      </x:c>
      <x:c r="M57" s="70" t="str">
        <x:f>IF('Drivers'!$D$12="","",'Drivers'!$D$12)</x:f>
      </x:c>
      <x:c r="N57" s="42" t="str">
        <x:f>IF('Drivers'!$D$15="","",'Drivers'!$D$15)</x:f>
      </x:c>
      <x:c r="O57" s="42" t="str">
        <x:v>expense</x:v>
      </x:c>
      <x:c r="P57" s="42" t="str">
        <x:v>above_noi</x:v>
      </x:c>
      <x:c r="Q57" s="42" t="n">
        <x:v>1</x:v>
      </x:c>
      <x:c r="R57" s="51" t="str">
        <x:f>IF(V57="Closed: excluded","",IF(ISNUMBER('STR Build'!H37),'STR Build'!H37,""))</x:f>
      </x:c>
      <x:c r="S57" s="42" t="str">
        <x:v>STR Build!H37</x:v>
      </x:c>
      <x:c r="T57" s="42" t="str">
        <x:v>Formula</x:v>
      </x:c>
      <x:c r="U57" s="67" t="str">
        <x:f>IF(ISNUMBER(R57),IF(R57=0,"Populated zero","Populated"),"Missing")</x:f>
        <x:v>Missing</x:v>
      </x:c>
      <x:c r="V57" s="67" t="str">
        <x:f>IF(AND(ISNUMBER('Drivers'!$D$12),E57&lt;='Drivers'!$D$12),"Closed: excluded","Open forecast")</x:f>
        <x:v>Open forecast</x:v>
      </x:c>
    </x:row>
    <x:row r="58" ht="22" customHeight="1">
      <x:c r="A58" s="42"/>
      <x:c r="B58" s="42"/>
      <x:c r="C58" s="42" t="str">
        <x:f>IF('Drivers'!$D$5="","",'Drivers'!$D$5)</x:f>
      </x:c>
      <x:c r="D58" s="42" t="str">
        <x:f>IF('Drivers'!$D$4="","",'Drivers'!$D$4)</x:f>
      </x:c>
      <x:c r="E58" s="69" t="n">
        <x:f>'STR Build'!H$6</x:f>
        <x:v>46447</x:v>
      </x:c>
      <x:c r="F58" s="42" t="str">
        <x:f>IF('Drivers'!$D$10="","",'Drivers'!$D$10)</x:f>
        <x:v>Working Draft</x:v>
      </x:c>
      <x:c r="G58" s="42" t="str">
        <x:f>IF('GL Mapping'!I14="",'GL Mapping'!C14,'GL Mapping'!I14)</x:f>
        <x:v>610300</x:v>
      </x:c>
      <x:c r="H58" s="42" t="str">
        <x:v>Property-borne lodging tax</x:v>
      </x:c>
      <x:c r="I58" s="42" t="str">
        <x:f>IF('Drivers'!$D$11="","",'Drivers'!$D$11)</x:f>
        <x:v>Short-Term Rentals</x:v>
      </x:c>
      <x:c r="J58" s="42" t="str">
        <x:f>IF('Drivers'!$D$8="","",'Drivers'!$D$8)</x:f>
        <x:v>USD</x:v>
      </x:c>
      <x:c r="K58" s="42" t="str">
        <x:f>IF('Drivers'!$D$21="","",'Drivers'!$D$21)</x:f>
        <x:v>Calendar</x:v>
      </x:c>
      <x:c r="L58" s="42" t="str">
        <x:f>IF('Drivers'!$D$9="","",'Drivers'!$D$9)</x:f>
        <x:v>Accrual</x:v>
      </x:c>
      <x:c r="M58" s="70" t="str">
        <x:f>IF('Drivers'!$D$12="","",'Drivers'!$D$12)</x:f>
      </x:c>
      <x:c r="N58" s="42" t="str">
        <x:f>IF('Drivers'!$D$15="","",'Drivers'!$D$15)</x:f>
      </x:c>
      <x:c r="O58" s="42" t="str">
        <x:v>expense</x:v>
      </x:c>
      <x:c r="P58" s="42" t="str">
        <x:v>above_noi</x:v>
      </x:c>
      <x:c r="Q58" s="42" t="n">
        <x:v>1</x:v>
      </x:c>
      <x:c r="R58" s="51" t="str">
        <x:f>IF(V58="Closed: excluded","",IF(ISNUMBER('STR Build'!H38),'STR Build'!H38,""))</x:f>
      </x:c>
      <x:c r="S58" s="42" t="str">
        <x:v>STR Build!H38</x:v>
      </x:c>
      <x:c r="T58" s="42" t="str">
        <x:v>Formula</x:v>
      </x:c>
      <x:c r="U58" s="67" t="str">
        <x:f>IF(ISNUMBER(R58),IF(R58=0,"Populated zero","Populated"),"Missing")</x:f>
        <x:v>Missing</x:v>
      </x:c>
      <x:c r="V58" s="67" t="str">
        <x:f>IF(AND(ISNUMBER('Drivers'!$D$12),E58&lt;='Drivers'!$D$12),"Closed: excluded","Open forecast")</x:f>
        <x:v>Open forecast</x:v>
      </x:c>
    </x:row>
    <x:row r="59" ht="22" customHeight="1">
      <x:c r="A59" s="42"/>
      <x:c r="B59" s="42"/>
      <x:c r="C59" s="42" t="str">
        <x:f>IF('Drivers'!$D$5="","",'Drivers'!$D$5)</x:f>
      </x:c>
      <x:c r="D59" s="42" t="str">
        <x:f>IF('Drivers'!$D$4="","",'Drivers'!$D$4)</x:f>
      </x:c>
      <x:c r="E59" s="69" t="n">
        <x:f>'STR Build'!H$6</x:f>
        <x:v>46447</x:v>
      </x:c>
      <x:c r="F59" s="42" t="str">
        <x:f>IF('Drivers'!$D$10="","",'Drivers'!$D$10)</x:f>
        <x:v>Working Draft</x:v>
      </x:c>
      <x:c r="G59" s="42" t="str">
        <x:f>IF('GL Mapping'!I15="",'GL Mapping'!C15,'GL Mapping'!I15)</x:f>
        <x:v>610400</x:v>
      </x:c>
      <x:c r="H59" s="42" t="str">
        <x:v>Supplies</x:v>
      </x:c>
      <x:c r="I59" s="42" t="str">
        <x:f>IF('Drivers'!$D$11="","",'Drivers'!$D$11)</x:f>
        <x:v>Short-Term Rentals</x:v>
      </x:c>
      <x:c r="J59" s="42" t="str">
        <x:f>IF('Drivers'!$D$8="","",'Drivers'!$D$8)</x:f>
        <x:v>USD</x:v>
      </x:c>
      <x:c r="K59" s="42" t="str">
        <x:f>IF('Drivers'!$D$21="","",'Drivers'!$D$21)</x:f>
        <x:v>Calendar</x:v>
      </x:c>
      <x:c r="L59" s="42" t="str">
        <x:f>IF('Drivers'!$D$9="","",'Drivers'!$D$9)</x:f>
        <x:v>Accrual</x:v>
      </x:c>
      <x:c r="M59" s="70" t="str">
        <x:f>IF('Drivers'!$D$12="","",'Drivers'!$D$12)</x:f>
      </x:c>
      <x:c r="N59" s="42" t="str">
        <x:f>IF('Drivers'!$D$15="","",'Drivers'!$D$15)</x:f>
      </x:c>
      <x:c r="O59" s="42" t="str">
        <x:v>expense</x:v>
      </x:c>
      <x:c r="P59" s="42" t="str">
        <x:v>above_noi</x:v>
      </x:c>
      <x:c r="Q59" s="42" t="n">
        <x:v>1</x:v>
      </x:c>
      <x:c r="R59" s="51" t="str">
        <x:f>IF(V59="Closed: excluded","",IF(ISNUMBER('STR Build'!H39),'STR Build'!H39,""))</x:f>
      </x:c>
      <x:c r="S59" s="42" t="str">
        <x:v>STR Build!H39</x:v>
      </x:c>
      <x:c r="T59" s="42" t="str">
        <x:v>Formula</x:v>
      </x:c>
      <x:c r="U59" s="67" t="str">
        <x:f>IF(ISNUMBER(R59),IF(R59=0,"Populated zero","Populated"),"Missing")</x:f>
        <x:v>Missing</x:v>
      </x:c>
      <x:c r="V59" s="67" t="str">
        <x:f>IF(AND(ISNUMBER('Drivers'!$D$12),E59&lt;='Drivers'!$D$12),"Closed: excluded","Open forecast")</x:f>
        <x:v>Open forecast</x:v>
      </x:c>
    </x:row>
    <x:row r="60" ht="22" customHeight="1">
      <x:c r="A60" s="42"/>
      <x:c r="B60" s="42"/>
      <x:c r="C60" s="42" t="str">
        <x:f>IF('Drivers'!$D$5="","",'Drivers'!$D$5)</x:f>
      </x:c>
      <x:c r="D60" s="42" t="str">
        <x:f>IF('Drivers'!$D$4="","",'Drivers'!$D$4)</x:f>
      </x:c>
      <x:c r="E60" s="69" t="n">
        <x:f>'STR Build'!H$6</x:f>
        <x:v>46447</x:v>
      </x:c>
      <x:c r="F60" s="42" t="str">
        <x:f>IF('Drivers'!$D$10="","",'Drivers'!$D$10)</x:f>
        <x:v>Working Draft</x:v>
      </x:c>
      <x:c r="G60" s="42" t="str">
        <x:f>IF('GL Mapping'!I16="",'GL Mapping'!C16,'GL Mapping'!I16)</x:f>
        <x:v>620100</x:v>
      </x:c>
      <x:c r="H60" s="42" t="str">
        <x:v>Payroll</x:v>
      </x:c>
      <x:c r="I60" s="42" t="str">
        <x:f>IF('Drivers'!$D$11="","",'Drivers'!$D$11)</x:f>
        <x:v>Short-Term Rentals</x:v>
      </x:c>
      <x:c r="J60" s="42" t="str">
        <x:f>IF('Drivers'!$D$8="","",'Drivers'!$D$8)</x:f>
        <x:v>USD</x:v>
      </x:c>
      <x:c r="K60" s="42" t="str">
        <x:f>IF('Drivers'!$D$21="","",'Drivers'!$D$21)</x:f>
        <x:v>Calendar</x:v>
      </x:c>
      <x:c r="L60" s="42" t="str">
        <x:f>IF('Drivers'!$D$9="","",'Drivers'!$D$9)</x:f>
        <x:v>Accrual</x:v>
      </x:c>
      <x:c r="M60" s="70" t="str">
        <x:f>IF('Drivers'!$D$12="","",'Drivers'!$D$12)</x:f>
      </x:c>
      <x:c r="N60" s="42" t="str">
        <x:f>IF('Drivers'!$D$15="","",'Drivers'!$D$15)</x:f>
      </x:c>
      <x:c r="O60" s="42" t="str">
        <x:v>expense</x:v>
      </x:c>
      <x:c r="P60" s="42" t="str">
        <x:v>above_noi</x:v>
      </x:c>
      <x:c r="Q60" s="42" t="n">
        <x:v>1</x:v>
      </x:c>
      <x:c r="R60" s="51" t="str">
        <x:f>IF(V60="Closed: excluded","",IF(ISNUMBER('STR Build'!H40),'STR Build'!H40,""))</x:f>
      </x:c>
      <x:c r="S60" s="42" t="str">
        <x:v>STR Build!H40</x:v>
      </x:c>
      <x:c r="T60" s="42" t="str">
        <x:v>Formula</x:v>
      </x:c>
      <x:c r="U60" s="67" t="str">
        <x:f>IF(ISNUMBER(R60),IF(R60=0,"Populated zero","Populated"),"Missing")</x:f>
        <x:v>Missing</x:v>
      </x:c>
      <x:c r="V60" s="67" t="str">
        <x:f>IF(AND(ISNUMBER('Drivers'!$D$12),E60&lt;='Drivers'!$D$12),"Closed: excluded","Open forecast")</x:f>
        <x:v>Open forecast</x:v>
      </x:c>
    </x:row>
    <x:row r="61" ht="22" customHeight="1">
      <x:c r="A61" s="42"/>
      <x:c r="B61" s="42"/>
      <x:c r="C61" s="42" t="str">
        <x:f>IF('Drivers'!$D$5="","",'Drivers'!$D$5)</x:f>
      </x:c>
      <x:c r="D61" s="42" t="str">
        <x:f>IF('Drivers'!$D$4="","",'Drivers'!$D$4)</x:f>
      </x:c>
      <x:c r="E61" s="69" t="n">
        <x:f>'STR Build'!H$6</x:f>
        <x:v>46447</x:v>
      </x:c>
      <x:c r="F61" s="42" t="str">
        <x:f>IF('Drivers'!$D$10="","",'Drivers'!$D$10)</x:f>
        <x:v>Working Draft</x:v>
      </x:c>
      <x:c r="G61" s="42" t="str">
        <x:f>IF('GL Mapping'!I17="",'GL Mapping'!C17,'GL Mapping'!I17)</x:f>
        <x:v>630100</x:v>
      </x:c>
      <x:c r="H61" s="42" t="str">
        <x:v>Utilities</x:v>
      </x:c>
      <x:c r="I61" s="42" t="str">
        <x:f>IF('Drivers'!$D$11="","",'Drivers'!$D$11)</x:f>
        <x:v>Short-Term Rentals</x:v>
      </x:c>
      <x:c r="J61" s="42" t="str">
        <x:f>IF('Drivers'!$D$8="","",'Drivers'!$D$8)</x:f>
        <x:v>USD</x:v>
      </x:c>
      <x:c r="K61" s="42" t="str">
        <x:f>IF('Drivers'!$D$21="","",'Drivers'!$D$21)</x:f>
        <x:v>Calendar</x:v>
      </x:c>
      <x:c r="L61" s="42" t="str">
        <x:f>IF('Drivers'!$D$9="","",'Drivers'!$D$9)</x:f>
        <x:v>Accrual</x:v>
      </x:c>
      <x:c r="M61" s="70" t="str">
        <x:f>IF('Drivers'!$D$12="","",'Drivers'!$D$12)</x:f>
      </x:c>
      <x:c r="N61" s="42" t="str">
        <x:f>IF('Drivers'!$D$15="","",'Drivers'!$D$15)</x:f>
      </x:c>
      <x:c r="O61" s="42" t="str">
        <x:v>expense</x:v>
      </x:c>
      <x:c r="P61" s="42" t="str">
        <x:v>above_noi</x:v>
      </x:c>
      <x:c r="Q61" s="42" t="n">
        <x:v>1</x:v>
      </x:c>
      <x:c r="R61" s="51" t="str">
        <x:f>IF(V61="Closed: excluded","",IF(ISNUMBER('STR Build'!H41),'STR Build'!H41,""))</x:f>
      </x:c>
      <x:c r="S61" s="42" t="str">
        <x:v>STR Build!H41</x:v>
      </x:c>
      <x:c r="T61" s="42" t="str">
        <x:v>Formula</x:v>
      </x:c>
      <x:c r="U61" s="67" t="str">
        <x:f>IF(ISNUMBER(R61),IF(R61=0,"Populated zero","Populated"),"Missing")</x:f>
        <x:v>Missing</x:v>
      </x:c>
      <x:c r="V61" s="67" t="str">
        <x:f>IF(AND(ISNUMBER('Drivers'!$D$12),E61&lt;='Drivers'!$D$12),"Closed: excluded","Open forecast")</x:f>
        <x:v>Open forecast</x:v>
      </x:c>
    </x:row>
    <x:row r="62" ht="22" customHeight="1">
      <x:c r="A62" s="42"/>
      <x:c r="B62" s="42"/>
      <x:c r="C62" s="42" t="str">
        <x:f>IF('Drivers'!$D$5="","",'Drivers'!$D$5)</x:f>
      </x:c>
      <x:c r="D62" s="42" t="str">
        <x:f>IF('Drivers'!$D$4="","",'Drivers'!$D$4)</x:f>
      </x:c>
      <x:c r="E62" s="69" t="n">
        <x:f>'STR Build'!H$6</x:f>
        <x:v>46447</x:v>
      </x:c>
      <x:c r="F62" s="42" t="str">
        <x:f>IF('Drivers'!$D$10="","",'Drivers'!$D$10)</x:f>
        <x:v>Working Draft</x:v>
      </x:c>
      <x:c r="G62" s="42" t="str">
        <x:f>IF('GL Mapping'!I18="",'GL Mapping'!C18,'GL Mapping'!I18)</x:f>
        <x:v>640100</x:v>
      </x:c>
      <x:c r="H62" s="42" t="str">
        <x:v>Contracts</x:v>
      </x:c>
      <x:c r="I62" s="42" t="str">
        <x:f>IF('Drivers'!$D$11="","",'Drivers'!$D$11)</x:f>
        <x:v>Short-Term Rentals</x:v>
      </x:c>
      <x:c r="J62" s="42" t="str">
        <x:f>IF('Drivers'!$D$8="","",'Drivers'!$D$8)</x:f>
        <x:v>USD</x:v>
      </x:c>
      <x:c r="K62" s="42" t="str">
        <x:f>IF('Drivers'!$D$21="","",'Drivers'!$D$21)</x:f>
        <x:v>Calendar</x:v>
      </x:c>
      <x:c r="L62" s="42" t="str">
        <x:f>IF('Drivers'!$D$9="","",'Drivers'!$D$9)</x:f>
        <x:v>Accrual</x:v>
      </x:c>
      <x:c r="M62" s="70" t="str">
        <x:f>IF('Drivers'!$D$12="","",'Drivers'!$D$12)</x:f>
      </x:c>
      <x:c r="N62" s="42" t="str">
        <x:f>IF('Drivers'!$D$15="","",'Drivers'!$D$15)</x:f>
      </x:c>
      <x:c r="O62" s="42" t="str">
        <x:v>expense</x:v>
      </x:c>
      <x:c r="P62" s="42" t="str">
        <x:v>above_noi</x:v>
      </x:c>
      <x:c r="Q62" s="42" t="n">
        <x:v>1</x:v>
      </x:c>
      <x:c r="R62" s="51" t="str">
        <x:f>IF(V62="Closed: excluded","",IF(ISNUMBER('STR Build'!H42),'STR Build'!H42,""))</x:f>
      </x:c>
      <x:c r="S62" s="42" t="str">
        <x:v>STR Build!H42</x:v>
      </x:c>
      <x:c r="T62" s="42" t="str">
        <x:v>Formula</x:v>
      </x:c>
      <x:c r="U62" s="67" t="str">
        <x:f>IF(ISNUMBER(R62),IF(R62=0,"Populated zero","Populated"),"Missing")</x:f>
        <x:v>Missing</x:v>
      </x:c>
      <x:c r="V62" s="67" t="str">
        <x:f>IF(AND(ISNUMBER('Drivers'!$D$12),E62&lt;='Drivers'!$D$12),"Closed: excluded","Open forecast")</x:f>
        <x:v>Open forecast</x:v>
      </x:c>
    </x:row>
    <x:row r="63" ht="22" customHeight="1">
      <x:c r="A63" s="42"/>
      <x:c r="B63" s="42"/>
      <x:c r="C63" s="42" t="str">
        <x:f>IF('Drivers'!$D$5="","",'Drivers'!$D$5)</x:f>
      </x:c>
      <x:c r="D63" s="42" t="str">
        <x:f>IF('Drivers'!$D$4="","",'Drivers'!$D$4)</x:f>
      </x:c>
      <x:c r="E63" s="69" t="n">
        <x:f>'STR Build'!H$6</x:f>
        <x:v>46447</x:v>
      </x:c>
      <x:c r="F63" s="42" t="str">
        <x:f>IF('Drivers'!$D$10="","",'Drivers'!$D$10)</x:f>
        <x:v>Working Draft</x:v>
      </x:c>
      <x:c r="G63" s="42" t="str">
        <x:f>IF('GL Mapping'!I19="",'GL Mapping'!C19,'GL Mapping'!I19)</x:f>
        <x:v>650100</x:v>
      </x:c>
      <x:c r="H63" s="42" t="str">
        <x:v>Marketing</x:v>
      </x:c>
      <x:c r="I63" s="42" t="str">
        <x:f>IF('Drivers'!$D$11="","",'Drivers'!$D$11)</x:f>
        <x:v>Short-Term Rentals</x:v>
      </x:c>
      <x:c r="J63" s="42" t="str">
        <x:f>IF('Drivers'!$D$8="","",'Drivers'!$D$8)</x:f>
        <x:v>USD</x:v>
      </x:c>
      <x:c r="K63" s="42" t="str">
        <x:f>IF('Drivers'!$D$21="","",'Drivers'!$D$21)</x:f>
        <x:v>Calendar</x:v>
      </x:c>
      <x:c r="L63" s="42" t="str">
        <x:f>IF('Drivers'!$D$9="","",'Drivers'!$D$9)</x:f>
        <x:v>Accrual</x:v>
      </x:c>
      <x:c r="M63" s="70" t="str">
        <x:f>IF('Drivers'!$D$12="","",'Drivers'!$D$12)</x:f>
      </x:c>
      <x:c r="N63" s="42" t="str">
        <x:f>IF('Drivers'!$D$15="","",'Drivers'!$D$15)</x:f>
      </x:c>
      <x:c r="O63" s="42" t="str">
        <x:v>expense</x:v>
      </x:c>
      <x:c r="P63" s="42" t="str">
        <x:v>above_noi</x:v>
      </x:c>
      <x:c r="Q63" s="42" t="n">
        <x:v>1</x:v>
      </x:c>
      <x:c r="R63" s="51" t="str">
        <x:f>IF(V63="Closed: excluded","",IF(ISNUMBER('STR Build'!H43),'STR Build'!H43,""))</x:f>
      </x:c>
      <x:c r="S63" s="42" t="str">
        <x:v>STR Build!H43</x:v>
      </x:c>
      <x:c r="T63" s="42" t="str">
        <x:v>Formula</x:v>
      </x:c>
      <x:c r="U63" s="67" t="str">
        <x:f>IF(ISNUMBER(R63),IF(R63=0,"Populated zero","Populated"),"Missing")</x:f>
        <x:v>Missing</x:v>
      </x:c>
      <x:c r="V63" s="67" t="str">
        <x:f>IF(AND(ISNUMBER('Drivers'!$D$12),E63&lt;='Drivers'!$D$12),"Closed: excluded","Open forecast")</x:f>
        <x:v>Open forecast</x:v>
      </x:c>
    </x:row>
    <x:row r="64" ht="22" customHeight="1">
      <x:c r="A64" s="42"/>
      <x:c r="B64" s="42"/>
      <x:c r="C64" s="42" t="str">
        <x:f>IF('Drivers'!$D$5="","",'Drivers'!$D$5)</x:f>
      </x:c>
      <x:c r="D64" s="42" t="str">
        <x:f>IF('Drivers'!$D$4="","",'Drivers'!$D$4)</x:f>
      </x:c>
      <x:c r="E64" s="69" t="n">
        <x:f>'STR Build'!H$6</x:f>
        <x:v>46447</x:v>
      </x:c>
      <x:c r="F64" s="42" t="str">
        <x:f>IF('Drivers'!$D$10="","",'Drivers'!$D$10)</x:f>
        <x:v>Working Draft</x:v>
      </x:c>
      <x:c r="G64" s="42" t="str">
        <x:f>IF('GL Mapping'!I20="",'GL Mapping'!C20,'GL Mapping'!I20)</x:f>
        <x:v>660100</x:v>
      </x:c>
      <x:c r="H64" s="42" t="str">
        <x:v>Maintenance</x:v>
      </x:c>
      <x:c r="I64" s="42" t="str">
        <x:f>IF('Drivers'!$D$11="","",'Drivers'!$D$11)</x:f>
        <x:v>Short-Term Rentals</x:v>
      </x:c>
      <x:c r="J64" s="42" t="str">
        <x:f>IF('Drivers'!$D$8="","",'Drivers'!$D$8)</x:f>
        <x:v>USD</x:v>
      </x:c>
      <x:c r="K64" s="42" t="str">
        <x:f>IF('Drivers'!$D$21="","",'Drivers'!$D$21)</x:f>
        <x:v>Calendar</x:v>
      </x:c>
      <x:c r="L64" s="42" t="str">
        <x:f>IF('Drivers'!$D$9="","",'Drivers'!$D$9)</x:f>
        <x:v>Accrual</x:v>
      </x:c>
      <x:c r="M64" s="70" t="str">
        <x:f>IF('Drivers'!$D$12="","",'Drivers'!$D$12)</x:f>
      </x:c>
      <x:c r="N64" s="42" t="str">
        <x:f>IF('Drivers'!$D$15="","",'Drivers'!$D$15)</x:f>
      </x:c>
      <x:c r="O64" s="42" t="str">
        <x:v>expense</x:v>
      </x:c>
      <x:c r="P64" s="42" t="str">
        <x:v>above_noi</x:v>
      </x:c>
      <x:c r="Q64" s="42" t="n">
        <x:v>1</x:v>
      </x:c>
      <x:c r="R64" s="51" t="str">
        <x:f>IF(V64="Closed: excluded","",IF(ISNUMBER('STR Build'!H44),'STR Build'!H44,""))</x:f>
      </x:c>
      <x:c r="S64" s="42" t="str">
        <x:v>STR Build!H44</x:v>
      </x:c>
      <x:c r="T64" s="42" t="str">
        <x:v>Formula</x:v>
      </x:c>
      <x:c r="U64" s="67" t="str">
        <x:f>IF(ISNUMBER(R64),IF(R64=0,"Populated zero","Populated"),"Missing")</x:f>
        <x:v>Missing</x:v>
      </x:c>
      <x:c r="V64" s="67" t="str">
        <x:f>IF(AND(ISNUMBER('Drivers'!$D$12),E64&lt;='Drivers'!$D$12),"Closed: excluded","Open forecast")</x:f>
        <x:v>Open forecast</x:v>
      </x:c>
    </x:row>
    <x:row r="65" ht="22" customHeight="1">
      <x:c r="A65" s="42"/>
      <x:c r="B65" s="42"/>
      <x:c r="C65" s="42" t="str">
        <x:f>IF('Drivers'!$D$5="","",'Drivers'!$D$5)</x:f>
      </x:c>
      <x:c r="D65" s="42" t="str">
        <x:f>IF('Drivers'!$D$4="","",'Drivers'!$D$4)</x:f>
      </x:c>
      <x:c r="E65" s="69" t="n">
        <x:f>'STR Build'!H$6</x:f>
        <x:v>46447</x:v>
      </x:c>
      <x:c r="F65" s="42" t="str">
        <x:f>IF('Drivers'!$D$10="","",'Drivers'!$D$10)</x:f>
        <x:v>Working Draft</x:v>
      </x:c>
      <x:c r="G65" s="42" t="str">
        <x:f>IF('GL Mapping'!I21="",'GL Mapping'!C21,'GL Mapping'!I21)</x:f>
        <x:v>670100</x:v>
      </x:c>
      <x:c r="H65" s="42" t="str">
        <x:v>Insurance</x:v>
      </x:c>
      <x:c r="I65" s="42" t="str">
        <x:f>IF('Drivers'!$D$11="","",'Drivers'!$D$11)</x:f>
        <x:v>Short-Term Rentals</x:v>
      </x:c>
      <x:c r="J65" s="42" t="str">
        <x:f>IF('Drivers'!$D$8="","",'Drivers'!$D$8)</x:f>
        <x:v>USD</x:v>
      </x:c>
      <x:c r="K65" s="42" t="str">
        <x:f>IF('Drivers'!$D$21="","",'Drivers'!$D$21)</x:f>
        <x:v>Calendar</x:v>
      </x:c>
      <x:c r="L65" s="42" t="str">
        <x:f>IF('Drivers'!$D$9="","",'Drivers'!$D$9)</x:f>
        <x:v>Accrual</x:v>
      </x:c>
      <x:c r="M65" s="70" t="str">
        <x:f>IF('Drivers'!$D$12="","",'Drivers'!$D$12)</x:f>
      </x:c>
      <x:c r="N65" s="42" t="str">
        <x:f>IF('Drivers'!$D$15="","",'Drivers'!$D$15)</x:f>
      </x:c>
      <x:c r="O65" s="42" t="str">
        <x:v>expense</x:v>
      </x:c>
      <x:c r="P65" s="42" t="str">
        <x:v>above_noi</x:v>
      </x:c>
      <x:c r="Q65" s="42" t="n">
        <x:v>1</x:v>
      </x:c>
      <x:c r="R65" s="51" t="str">
        <x:f>IF(V65="Closed: excluded","",IF(ISNUMBER('STR Build'!H45),'STR Build'!H45,""))</x:f>
      </x:c>
      <x:c r="S65" s="42" t="str">
        <x:v>STR Build!H45</x:v>
      </x:c>
      <x:c r="T65" s="42" t="str">
        <x:v>Formula</x:v>
      </x:c>
      <x:c r="U65" s="67" t="str">
        <x:f>IF(ISNUMBER(R65),IF(R65=0,"Populated zero","Populated"),"Missing")</x:f>
        <x:v>Missing</x:v>
      </x:c>
      <x:c r="V65" s="67" t="str">
        <x:f>IF(AND(ISNUMBER('Drivers'!$D$12),E65&lt;='Drivers'!$D$12),"Closed: excluded","Open forecast")</x:f>
        <x:v>Open forecast</x:v>
      </x:c>
    </x:row>
    <x:row r="66" ht="22" customHeight="1">
      <x:c r="A66" s="42"/>
      <x:c r="B66" s="42"/>
      <x:c r="C66" s="42" t="str">
        <x:f>IF('Drivers'!$D$5="","",'Drivers'!$D$5)</x:f>
      </x:c>
      <x:c r="D66" s="42" t="str">
        <x:f>IF('Drivers'!$D$4="","",'Drivers'!$D$4)</x:f>
      </x:c>
      <x:c r="E66" s="69" t="n">
        <x:f>'STR Build'!H$6</x:f>
        <x:v>46447</x:v>
      </x:c>
      <x:c r="F66" s="42" t="str">
        <x:f>IF('Drivers'!$D$10="","",'Drivers'!$D$10)</x:f>
        <x:v>Working Draft</x:v>
      </x:c>
      <x:c r="G66" s="42" t="str">
        <x:f>IF('GL Mapping'!I22="",'GL Mapping'!C22,'GL Mapping'!I22)</x:f>
        <x:v>680100</x:v>
      </x:c>
      <x:c r="H66" s="42" t="str">
        <x:v>Property taxes</x:v>
      </x:c>
      <x:c r="I66" s="42" t="str">
        <x:f>IF('Drivers'!$D$11="","",'Drivers'!$D$11)</x:f>
        <x:v>Short-Term Rentals</x:v>
      </x:c>
      <x:c r="J66" s="42" t="str">
        <x:f>IF('Drivers'!$D$8="","",'Drivers'!$D$8)</x:f>
        <x:v>USD</x:v>
      </x:c>
      <x:c r="K66" s="42" t="str">
        <x:f>IF('Drivers'!$D$21="","",'Drivers'!$D$21)</x:f>
        <x:v>Calendar</x:v>
      </x:c>
      <x:c r="L66" s="42" t="str">
        <x:f>IF('Drivers'!$D$9="","",'Drivers'!$D$9)</x:f>
        <x:v>Accrual</x:v>
      </x:c>
      <x:c r="M66" s="70" t="str">
        <x:f>IF('Drivers'!$D$12="","",'Drivers'!$D$12)</x:f>
      </x:c>
      <x:c r="N66" s="42" t="str">
        <x:f>IF('Drivers'!$D$15="","",'Drivers'!$D$15)</x:f>
      </x:c>
      <x:c r="O66" s="42" t="str">
        <x:v>expense</x:v>
      </x:c>
      <x:c r="P66" s="42" t="str">
        <x:v>above_noi</x:v>
      </x:c>
      <x:c r="Q66" s="42" t="n">
        <x:v>1</x:v>
      </x:c>
      <x:c r="R66" s="51" t="str">
        <x:f>IF(V66="Closed: excluded","",IF(ISNUMBER('STR Build'!H46),'STR Build'!H46,""))</x:f>
      </x:c>
      <x:c r="S66" s="42" t="str">
        <x:v>STR Build!H46</x:v>
      </x:c>
      <x:c r="T66" s="42" t="str">
        <x:v>Formula</x:v>
      </x:c>
      <x:c r="U66" s="67" t="str">
        <x:f>IF(ISNUMBER(R66),IF(R66=0,"Populated zero","Populated"),"Missing")</x:f>
        <x:v>Missing</x:v>
      </x:c>
      <x:c r="V66" s="67" t="str">
        <x:f>IF(AND(ISNUMBER('Drivers'!$D$12),E66&lt;='Drivers'!$D$12),"Closed: excluded","Open forecast")</x:f>
        <x:v>Open forecast</x:v>
      </x:c>
    </x:row>
    <x:row r="67" ht="22" customHeight="1">
      <x:c r="A67" s="42"/>
      <x:c r="B67" s="42"/>
      <x:c r="C67" s="42" t="str">
        <x:f>IF('Drivers'!$D$5="","",'Drivers'!$D$5)</x:f>
      </x:c>
      <x:c r="D67" s="42" t="str">
        <x:f>IF('Drivers'!$D$4="","",'Drivers'!$D$4)</x:f>
      </x:c>
      <x:c r="E67" s="69" t="n">
        <x:f>'STR Build'!H$6</x:f>
        <x:v>46447</x:v>
      </x:c>
      <x:c r="F67" s="42" t="str">
        <x:f>IF('Drivers'!$D$10="","",'Drivers'!$D$10)</x:f>
        <x:v>Working Draft</x:v>
      </x:c>
      <x:c r="G67" s="42" t="str">
        <x:f>IF('GL Mapping'!I23="",'GL Mapping'!C23,'GL Mapping'!I23)</x:f>
        <x:v>690100</x:v>
      </x:c>
      <x:c r="H67" s="42" t="str">
        <x:v>Other operating expenses</x:v>
      </x:c>
      <x:c r="I67" s="42" t="str">
        <x:f>IF('Drivers'!$D$11="","",'Drivers'!$D$11)</x:f>
        <x:v>Short-Term Rentals</x:v>
      </x:c>
      <x:c r="J67" s="42" t="str">
        <x:f>IF('Drivers'!$D$8="","",'Drivers'!$D$8)</x:f>
        <x:v>USD</x:v>
      </x:c>
      <x:c r="K67" s="42" t="str">
        <x:f>IF('Drivers'!$D$21="","",'Drivers'!$D$21)</x:f>
        <x:v>Calendar</x:v>
      </x:c>
      <x:c r="L67" s="42" t="str">
        <x:f>IF('Drivers'!$D$9="","",'Drivers'!$D$9)</x:f>
        <x:v>Accrual</x:v>
      </x:c>
      <x:c r="M67" s="70" t="str">
        <x:f>IF('Drivers'!$D$12="","",'Drivers'!$D$12)</x:f>
      </x:c>
      <x:c r="N67" s="42" t="str">
        <x:f>IF('Drivers'!$D$15="","",'Drivers'!$D$15)</x:f>
      </x:c>
      <x:c r="O67" s="42" t="str">
        <x:v>expense</x:v>
      </x:c>
      <x:c r="P67" s="42" t="str">
        <x:v>above_noi</x:v>
      </x:c>
      <x:c r="Q67" s="42" t="n">
        <x:v>1</x:v>
      </x:c>
      <x:c r="R67" s="51" t="str">
        <x:f>IF(V67="Closed: excluded","",IF(ISNUMBER('STR Build'!H47),'STR Build'!H47,""))</x:f>
      </x:c>
      <x:c r="S67" s="42" t="str">
        <x:v>STR Build!H47</x:v>
      </x:c>
      <x:c r="T67" s="42" t="str">
        <x:v>Formula</x:v>
      </x:c>
      <x:c r="U67" s="67" t="str">
        <x:f>IF(ISNUMBER(R67),IF(R67=0,"Populated zero","Populated"),"Missing")</x:f>
        <x:v>Missing</x:v>
      </x:c>
      <x:c r="V67" s="67" t="str">
        <x:f>IF(AND(ISNUMBER('Drivers'!$D$12),E67&lt;='Drivers'!$D$12),"Closed: excluded","Open forecast")</x:f>
        <x:v>Open forecast</x:v>
      </x:c>
    </x:row>
    <x:row r="68" ht="22" customHeight="1">
      <x:c r="A68" s="42"/>
      <x:c r="B68" s="42"/>
      <x:c r="C68" s="42" t="str">
        <x:f>IF('Drivers'!$D$5="","",'Drivers'!$D$5)</x:f>
      </x:c>
      <x:c r="D68" s="42" t="str">
        <x:f>IF('Drivers'!$D$4="","",'Drivers'!$D$4)</x:f>
      </x:c>
      <x:c r="E68" s="69" t="n">
        <x:f>'STR Build'!H$6</x:f>
        <x:v>46447</x:v>
      </x:c>
      <x:c r="F68" s="42" t="str">
        <x:f>IF('Drivers'!$D$10="","",'Drivers'!$D$10)</x:f>
        <x:v>Working Draft</x:v>
      </x:c>
      <x:c r="G68" s="42" t="str">
        <x:f>IF('GL Mapping'!I24="",'GL Mapping'!C24,'GL Mapping'!I24)</x:f>
        <x:v>710100</x:v>
      </x:c>
      <x:c r="H68" s="42" t="str">
        <x:v>Other below-NOI cash costs</x:v>
      </x:c>
      <x:c r="I68" s="42" t="str">
        <x:f>IF('Drivers'!$D$11="","",'Drivers'!$D$11)</x:f>
        <x:v>Short-Term Rentals</x:v>
      </x:c>
      <x:c r="J68" s="42" t="str">
        <x:f>IF('Drivers'!$D$8="","",'Drivers'!$D$8)</x:f>
        <x:v>USD</x:v>
      </x:c>
      <x:c r="K68" s="42" t="str">
        <x:f>IF('Drivers'!$D$21="","",'Drivers'!$D$21)</x:f>
        <x:v>Calendar</x:v>
      </x:c>
      <x:c r="L68" s="42" t="str">
        <x:f>IF('Drivers'!$D$9="","",'Drivers'!$D$9)</x:f>
        <x:v>Accrual</x:v>
      </x:c>
      <x:c r="M68" s="70" t="str">
        <x:f>IF('Drivers'!$D$12="","",'Drivers'!$D$12)</x:f>
      </x:c>
      <x:c r="N68" s="42" t="str">
        <x:f>IF('Drivers'!$D$15="","",'Drivers'!$D$15)</x:f>
      </x:c>
      <x:c r="O68" s="42" t="str">
        <x:v>below_noi</x:v>
      </x:c>
      <x:c r="P68" s="42" t="str">
        <x:v>below_noi</x:v>
      </x:c>
      <x:c r="Q68" s="42" t="n">
        <x:v>1</x:v>
      </x:c>
      <x:c r="R68" s="51" t="str">
        <x:f>IF(V68="Closed: excluded","",IF(ISNUMBER('STR Build'!H55),'STR Build'!H55,""))</x:f>
      </x:c>
      <x:c r="S68" s="42" t="str">
        <x:v>STR Build!H55</x:v>
      </x:c>
      <x:c r="T68" s="42" t="str">
        <x:v>Formula</x:v>
      </x:c>
      <x:c r="U68" s="67" t="str">
        <x:f>IF(ISNUMBER(R68),IF(R68=0,"Populated zero","Populated"),"Missing")</x:f>
        <x:v>Missing</x:v>
      </x:c>
      <x:c r="V68" s="67" t="str">
        <x:f>IF(AND(ISNUMBER('Drivers'!$D$12),E68&lt;='Drivers'!$D$12),"Closed: excluded","Open forecast")</x:f>
        <x:v>Open forecast</x:v>
      </x:c>
    </x:row>
    <x:row r="69" ht="22" customHeight="1">
      <x:c r="A69" s="42"/>
      <x:c r="B69" s="42"/>
      <x:c r="C69" s="42" t="str">
        <x:f>IF('Drivers'!$D$5="","",'Drivers'!$D$5)</x:f>
      </x:c>
      <x:c r="D69" s="42" t="str">
        <x:f>IF('Drivers'!$D$4="","",'Drivers'!$D$4)</x:f>
      </x:c>
      <x:c r="E69" s="69" t="n">
        <x:f>'STR Build'!H$6</x:f>
        <x:v>46447</x:v>
      </x:c>
      <x:c r="F69" s="42" t="str">
        <x:f>IF('Drivers'!$D$10="","",'Drivers'!$D$10)</x:f>
        <x:v>Working Draft</x:v>
      </x:c>
      <x:c r="G69" s="42" t="str">
        <x:f>IF('GL Mapping'!I25="",'GL Mapping'!C25,'GL Mapping'!I25)</x:f>
        <x:v>720100</x:v>
      </x:c>
      <x:c r="H69" s="42" t="str">
        <x:v>Debt interest</x:v>
      </x:c>
      <x:c r="I69" s="42" t="str">
        <x:f>IF('Drivers'!$D$11="","",'Drivers'!$D$11)</x:f>
        <x:v>Short-Term Rentals</x:v>
      </x:c>
      <x:c r="J69" s="42" t="str">
        <x:f>IF('Drivers'!$D$8="","",'Drivers'!$D$8)</x:f>
        <x:v>USD</x:v>
      </x:c>
      <x:c r="K69" s="42" t="str">
        <x:f>IF('Drivers'!$D$21="","",'Drivers'!$D$21)</x:f>
        <x:v>Calendar</x:v>
      </x:c>
      <x:c r="L69" s="42" t="str">
        <x:f>IF('Drivers'!$D$9="","",'Drivers'!$D$9)</x:f>
        <x:v>Accrual</x:v>
      </x:c>
      <x:c r="M69" s="70" t="str">
        <x:f>IF('Drivers'!$D$12="","",'Drivers'!$D$12)</x:f>
      </x:c>
      <x:c r="N69" s="42" t="str">
        <x:f>IF('Drivers'!$D$15="","",'Drivers'!$D$15)</x:f>
      </x:c>
      <x:c r="O69" s="42" t="str">
        <x:v>debt</x:v>
      </x:c>
      <x:c r="P69" s="42" t="str">
        <x:v>below_noi</x:v>
      </x:c>
      <x:c r="Q69" s="42" t="n">
        <x:v>1</x:v>
      </x:c>
      <x:c r="R69" s="51" t="str">
        <x:f>IF(V69="Closed: excluded","",IF(ISNUMBER('STR Build'!H56),'STR Build'!H56,""))</x:f>
      </x:c>
      <x:c r="S69" s="42" t="str">
        <x:v>STR Build!H56</x:v>
      </x:c>
      <x:c r="T69" s="42" t="str">
        <x:v>Formula</x:v>
      </x:c>
      <x:c r="U69" s="67" t="str">
        <x:f>IF(ISNUMBER(R69),IF(R69=0,"Populated zero","Populated"),"Missing")</x:f>
        <x:v>Missing</x:v>
      </x:c>
      <x:c r="V69" s="67" t="str">
        <x:f>IF(AND(ISNUMBER('Drivers'!$D$12),E69&lt;='Drivers'!$D$12),"Closed: excluded","Open forecast")</x:f>
        <x:v>Open forecast</x:v>
      </x:c>
    </x:row>
    <x:row r="70" ht="22" customHeight="1">
      <x:c r="A70" s="42"/>
      <x:c r="B70" s="42"/>
      <x:c r="C70" s="42" t="str">
        <x:f>IF('Drivers'!$D$5="","",'Drivers'!$D$5)</x:f>
      </x:c>
      <x:c r="D70" s="42" t="str">
        <x:f>IF('Drivers'!$D$4="","",'Drivers'!$D$4)</x:f>
      </x:c>
      <x:c r="E70" s="69" t="n">
        <x:f>'STR Build'!H$6</x:f>
        <x:v>46447</x:v>
      </x:c>
      <x:c r="F70" s="42" t="str">
        <x:f>IF('Drivers'!$D$10="","",'Drivers'!$D$10)</x:f>
        <x:v>Working Draft</x:v>
      </x:c>
      <x:c r="G70" s="42" t="str">
        <x:f>IF('GL Mapping'!I26="",'GL Mapping'!C26,'GL Mapping'!I26)</x:f>
        <x:v>720200</x:v>
      </x:c>
      <x:c r="H70" s="42" t="str">
        <x:v>Debt principal</x:v>
      </x:c>
      <x:c r="I70" s="42" t="str">
        <x:f>IF('Drivers'!$D$11="","",'Drivers'!$D$11)</x:f>
        <x:v>Short-Term Rentals</x:v>
      </x:c>
      <x:c r="J70" s="42" t="str">
        <x:f>IF('Drivers'!$D$8="","",'Drivers'!$D$8)</x:f>
        <x:v>USD</x:v>
      </x:c>
      <x:c r="K70" s="42" t="str">
        <x:f>IF('Drivers'!$D$21="","",'Drivers'!$D$21)</x:f>
        <x:v>Calendar</x:v>
      </x:c>
      <x:c r="L70" s="42" t="str">
        <x:f>IF('Drivers'!$D$9="","",'Drivers'!$D$9)</x:f>
        <x:v>Accrual</x:v>
      </x:c>
      <x:c r="M70" s="70" t="str">
        <x:f>IF('Drivers'!$D$12="","",'Drivers'!$D$12)</x:f>
      </x:c>
      <x:c r="N70" s="42" t="str">
        <x:f>IF('Drivers'!$D$15="","",'Drivers'!$D$15)</x:f>
      </x:c>
      <x:c r="O70" s="42" t="str">
        <x:v>debt</x:v>
      </x:c>
      <x:c r="P70" s="42" t="str">
        <x:v>below_noi</x:v>
      </x:c>
      <x:c r="Q70" s="42" t="n">
        <x:v>1</x:v>
      </x:c>
      <x:c r="R70" s="51" t="str">
        <x:f>IF(V70="Closed: excluded","",IF(ISNUMBER('STR Build'!H57),'STR Build'!H57,""))</x:f>
      </x:c>
      <x:c r="S70" s="42" t="str">
        <x:v>STR Build!H57</x:v>
      </x:c>
      <x:c r="T70" s="42" t="str">
        <x:v>Formula</x:v>
      </x:c>
      <x:c r="U70" s="67" t="str">
        <x:f>IF(ISNUMBER(R70),IF(R70=0,"Populated zero","Populated"),"Missing")</x:f>
        <x:v>Missing</x:v>
      </x:c>
      <x:c r="V70" s="67" t="str">
        <x:f>IF(AND(ISNUMBER('Drivers'!$D$12),E70&lt;='Drivers'!$D$12),"Closed: excluded","Open forecast")</x:f>
        <x:v>Open forecast</x:v>
      </x:c>
    </x:row>
    <x:row r="71" ht="22" customHeight="1">
      <x:c r="A71" s="42"/>
      <x:c r="B71" s="42"/>
      <x:c r="C71" s="42" t="str">
        <x:f>IF('Drivers'!$D$5="","",'Drivers'!$D$5)</x:f>
      </x:c>
      <x:c r="D71" s="42" t="str">
        <x:f>IF('Drivers'!$D$4="","",'Drivers'!$D$4)</x:f>
      </x:c>
      <x:c r="E71" s="69" t="n">
        <x:f>'STR Build'!H$6</x:f>
        <x:v>46447</x:v>
      </x:c>
      <x:c r="F71" s="42" t="str">
        <x:f>IF('Drivers'!$D$10="","",'Drivers'!$D$10)</x:f>
        <x:v>Working Draft</x:v>
      </x:c>
      <x:c r="G71" s="42" t="str">
        <x:f>IF('GL Mapping'!I27="",'GL Mapping'!C27,'GL Mapping'!I27)</x:f>
        <x:v>730100</x:v>
      </x:c>
      <x:c r="H71" s="42" t="str">
        <x:v>Capital expenditure</x:v>
      </x:c>
      <x:c r="I71" s="42" t="str">
        <x:f>IF('Drivers'!$D$11="","",'Drivers'!$D$11)</x:f>
        <x:v>Short-Term Rentals</x:v>
      </x:c>
      <x:c r="J71" s="42" t="str">
        <x:f>IF('Drivers'!$D$8="","",'Drivers'!$D$8)</x:f>
        <x:v>USD</x:v>
      </x:c>
      <x:c r="K71" s="42" t="str">
        <x:f>IF('Drivers'!$D$21="","",'Drivers'!$D$21)</x:f>
        <x:v>Calendar</x:v>
      </x:c>
      <x:c r="L71" s="42" t="str">
        <x:f>IF('Drivers'!$D$9="","",'Drivers'!$D$9)</x:f>
        <x:v>Accrual</x:v>
      </x:c>
      <x:c r="M71" s="70" t="str">
        <x:f>IF('Drivers'!$D$12="","",'Drivers'!$D$12)</x:f>
      </x:c>
      <x:c r="N71" s="42" t="str">
        <x:f>IF('Drivers'!$D$15="","",'Drivers'!$D$15)</x:f>
      </x:c>
      <x:c r="O71" s="42" t="str">
        <x:v>capital</x:v>
      </x:c>
      <x:c r="P71" s="42" t="str">
        <x:v>below_noi</x:v>
      </x:c>
      <x:c r="Q71" s="42" t="n">
        <x:v>1</x:v>
      </x:c>
      <x:c r="R71" s="51" t="str">
        <x:f>IF(V71="Closed: excluded","",IF(ISNUMBER('STR Build'!H58),'STR Build'!H58,""))</x:f>
      </x:c>
      <x:c r="S71" s="42" t="str">
        <x:v>STR Build!H58</x:v>
      </x:c>
      <x:c r="T71" s="42" t="str">
        <x:v>Formula</x:v>
      </x:c>
      <x:c r="U71" s="67" t="str">
        <x:f>IF(ISNUMBER(R71),IF(R71=0,"Populated zero","Populated"),"Missing")</x:f>
        <x:v>Missing</x:v>
      </x:c>
      <x:c r="V71" s="67" t="str">
        <x:f>IF(AND(ISNUMBER('Drivers'!$D$12),E71&lt;='Drivers'!$D$12),"Closed: excluded","Open forecast")</x:f>
        <x:v>Open forecast</x:v>
      </x:c>
    </x:row>
    <x:row r="72" ht="22" customHeight="1">
      <x:c r="A72" s="42"/>
      <x:c r="B72" s="42"/>
      <x:c r="C72" s="42" t="str">
        <x:f>IF('Drivers'!$D$5="","",'Drivers'!$D$5)</x:f>
      </x:c>
      <x:c r="D72" s="42" t="str">
        <x:f>IF('Drivers'!$D$4="","",'Drivers'!$D$4)</x:f>
      </x:c>
      <x:c r="E72" s="69" t="n">
        <x:f>'STR Build'!H$6</x:f>
        <x:v>46447</x:v>
      </x:c>
      <x:c r="F72" s="42" t="str">
        <x:f>IF('Drivers'!$D$10="","",'Drivers'!$D$10)</x:f>
        <x:v>Working Draft</x:v>
      </x:c>
      <x:c r="G72" s="42" t="str">
        <x:f>IF('GL Mapping'!I28="",'GL Mapping'!C28,'GL Mapping'!I28)</x:f>
        <x:v>740100</x:v>
      </x:c>
      <x:c r="H72" s="42" t="str">
        <x:v>Working-capital cash use</x:v>
      </x:c>
      <x:c r="I72" s="42" t="str">
        <x:f>IF('Drivers'!$D$11="","",'Drivers'!$D$11)</x:f>
        <x:v>Short-Term Rentals</x:v>
      </x:c>
      <x:c r="J72" s="42" t="str">
        <x:f>IF('Drivers'!$D$8="","",'Drivers'!$D$8)</x:f>
        <x:v>USD</x:v>
      </x:c>
      <x:c r="K72" s="42" t="str">
        <x:f>IF('Drivers'!$D$21="","",'Drivers'!$D$21)</x:f>
        <x:v>Calendar</x:v>
      </x:c>
      <x:c r="L72" s="42" t="str">
        <x:f>IF('Drivers'!$D$9="","",'Drivers'!$D$9)</x:f>
        <x:v>Accrual</x:v>
      </x:c>
      <x:c r="M72" s="70" t="str">
        <x:f>IF('Drivers'!$D$12="","",'Drivers'!$D$12)</x:f>
      </x:c>
      <x:c r="N72" s="42" t="str">
        <x:f>IF('Drivers'!$D$15="","",'Drivers'!$D$15)</x:f>
      </x:c>
      <x:c r="O72" s="42" t="str">
        <x:v>below_noi</x:v>
      </x:c>
      <x:c r="P72" s="42" t="str">
        <x:v>below_noi</x:v>
      </x:c>
      <x:c r="Q72" s="42" t="n">
        <x:v>1</x:v>
      </x:c>
      <x:c r="R72" s="51" t="str">
        <x:f>IF(V72="Closed: excluded","",IF(ISNUMBER('STR Build'!H59),'STR Build'!H59,""))</x:f>
      </x:c>
      <x:c r="S72" s="42" t="str">
        <x:v>STR Build!H59</x:v>
      </x:c>
      <x:c r="T72" s="42" t="str">
        <x:v>Formula</x:v>
      </x:c>
      <x:c r="U72" s="67" t="str">
        <x:f>IF(ISNUMBER(R72),IF(R72=0,"Populated zero","Populated"),"Missing")</x:f>
        <x:v>Missing</x:v>
      </x:c>
      <x:c r="V72" s="67" t="str">
        <x:f>IF(AND(ISNUMBER('Drivers'!$D$12),E72&lt;='Drivers'!$D$12),"Closed: excluded","Open forecast")</x:f>
        <x:v>Open forecast</x:v>
      </x:c>
    </x:row>
    <x:row r="73" ht="22" customHeight="1">
      <x:c r="A73" s="42"/>
      <x:c r="B73" s="42"/>
      <x:c r="C73" s="42" t="str">
        <x:f>IF('Drivers'!$D$5="","",'Drivers'!$D$5)</x:f>
      </x:c>
      <x:c r="D73" s="42" t="str">
        <x:f>IF('Drivers'!$D$4="","",'Drivers'!$D$4)</x:f>
      </x:c>
      <x:c r="E73" s="69" t="n">
        <x:f>'STR Build'!I$6</x:f>
        <x:v>46478</x:v>
      </x:c>
      <x:c r="F73" s="42" t="str">
        <x:f>IF('Drivers'!$D$10="","",'Drivers'!$D$10)</x:f>
        <x:v>Working Draft</x:v>
      </x:c>
      <x:c r="G73" s="42" t="str">
        <x:f>IF('GL Mapping'!I7="",'GL Mapping'!C7,'GL Mapping'!I7)</x:f>
        <x:v>410100</x:v>
      </x:c>
      <x:c r="H73" s="42" t="str">
        <x:v>Lodging revenue</x:v>
      </x:c>
      <x:c r="I73" s="42" t="str">
        <x:f>IF('Drivers'!$D$11="","",'Drivers'!$D$11)</x:f>
        <x:v>Short-Term Rentals</x:v>
      </x:c>
      <x:c r="J73" s="42" t="str">
        <x:f>IF('Drivers'!$D$8="","",'Drivers'!$D$8)</x:f>
        <x:v>USD</x:v>
      </x:c>
      <x:c r="K73" s="42" t="str">
        <x:f>IF('Drivers'!$D$21="","",'Drivers'!$D$21)</x:f>
        <x:v>Calendar</x:v>
      </x:c>
      <x:c r="L73" s="42" t="str">
        <x:f>IF('Drivers'!$D$9="","",'Drivers'!$D$9)</x:f>
        <x:v>Accrual</x:v>
      </x:c>
      <x:c r="M73" s="70" t="str">
        <x:f>IF('Drivers'!$D$12="","",'Drivers'!$D$12)</x:f>
      </x:c>
      <x:c r="N73" s="42" t="str">
        <x:f>IF('Drivers'!$D$15="","",'Drivers'!$D$15)</x:f>
      </x:c>
      <x:c r="O73" s="42" t="str">
        <x:v>income</x:v>
      </x:c>
      <x:c r="P73" s="42" t="str">
        <x:v>above_noi</x:v>
      </x:c>
      <x:c r="Q73" s="42" t="n">
        <x:v>1</x:v>
      </x:c>
      <x:c r="R73" s="51" t="str">
        <x:f>IF(V73="Closed: excluded","",IF(ISNUMBER('STR Build'!I28),'STR Build'!I28,""))</x:f>
      </x:c>
      <x:c r="S73" s="42" t="str">
        <x:v>STR Build!I28</x:v>
      </x:c>
      <x:c r="T73" s="42" t="str">
        <x:v>Formula</x:v>
      </x:c>
      <x:c r="U73" s="67" t="str">
        <x:f>IF(ISNUMBER(R73),IF(R73=0,"Populated zero","Populated"),"Missing")</x:f>
        <x:v>Missing</x:v>
      </x:c>
      <x:c r="V73" s="67" t="str">
        <x:f>IF(AND(ISNUMBER('Drivers'!$D$12),E73&lt;='Drivers'!$D$12),"Closed: excluded","Open forecast")</x:f>
        <x:v>Open forecast</x:v>
      </x:c>
    </x:row>
    <x:row r="74" ht="22" customHeight="1">
      <x:c r="A74" s="42"/>
      <x:c r="B74" s="42"/>
      <x:c r="C74" s="42" t="str">
        <x:f>IF('Drivers'!$D$5="","",'Drivers'!$D$5)</x:f>
      </x:c>
      <x:c r="D74" s="42" t="str">
        <x:f>IF('Drivers'!$D$4="","",'Drivers'!$D$4)</x:f>
      </x:c>
      <x:c r="E74" s="69" t="n">
        <x:f>'STR Build'!I$6</x:f>
        <x:v>46478</x:v>
      </x:c>
      <x:c r="F74" s="42" t="str">
        <x:f>IF('Drivers'!$D$10="","",'Drivers'!$D$10)</x:f>
        <x:v>Working Draft</x:v>
      </x:c>
      <x:c r="G74" s="42" t="str">
        <x:f>IF('GL Mapping'!I8="",'GL Mapping'!C8,'GL Mapping'!I8)</x:f>
        <x:v>410200</x:v>
      </x:c>
      <x:c r="H74" s="42" t="str">
        <x:v>Cleaning fee income</x:v>
      </x:c>
      <x:c r="I74" s="42" t="str">
        <x:f>IF('Drivers'!$D$11="","",'Drivers'!$D$11)</x:f>
        <x:v>Short-Term Rentals</x:v>
      </x:c>
      <x:c r="J74" s="42" t="str">
        <x:f>IF('Drivers'!$D$8="","",'Drivers'!$D$8)</x:f>
        <x:v>USD</x:v>
      </x:c>
      <x:c r="K74" s="42" t="str">
        <x:f>IF('Drivers'!$D$21="","",'Drivers'!$D$21)</x:f>
        <x:v>Calendar</x:v>
      </x:c>
      <x:c r="L74" s="42" t="str">
        <x:f>IF('Drivers'!$D$9="","",'Drivers'!$D$9)</x:f>
        <x:v>Accrual</x:v>
      </x:c>
      <x:c r="M74" s="70" t="str">
        <x:f>IF('Drivers'!$D$12="","",'Drivers'!$D$12)</x:f>
      </x:c>
      <x:c r="N74" s="42" t="str">
        <x:f>IF('Drivers'!$D$15="","",'Drivers'!$D$15)</x:f>
      </x:c>
      <x:c r="O74" s="42" t="str">
        <x:v>income</x:v>
      </x:c>
      <x:c r="P74" s="42" t="str">
        <x:v>above_noi</x:v>
      </x:c>
      <x:c r="Q74" s="42" t="n">
        <x:v>1</x:v>
      </x:c>
      <x:c r="R74" s="51" t="str">
        <x:f>IF(V74="Closed: excluded","",IF(ISNUMBER('STR Build'!I29),'STR Build'!I29,""))</x:f>
      </x:c>
      <x:c r="S74" s="42" t="str">
        <x:v>STR Build!I29</x:v>
      </x:c>
      <x:c r="T74" s="42" t="str">
        <x:v>Formula</x:v>
      </x:c>
      <x:c r="U74" s="67" t="str">
        <x:f>IF(ISNUMBER(R74),IF(R74=0,"Populated zero","Populated"),"Missing")</x:f>
        <x:v>Missing</x:v>
      </x:c>
      <x:c r="V74" s="67" t="str">
        <x:f>IF(AND(ISNUMBER('Drivers'!$D$12),E74&lt;='Drivers'!$D$12),"Closed: excluded","Open forecast")</x:f>
        <x:v>Open forecast</x:v>
      </x:c>
    </x:row>
    <x:row r="75" ht="22" customHeight="1">
      <x:c r="A75" s="42"/>
      <x:c r="B75" s="42"/>
      <x:c r="C75" s="42" t="str">
        <x:f>IF('Drivers'!$D$5="","",'Drivers'!$D$5)</x:f>
      </x:c>
      <x:c r="D75" s="42" t="str">
        <x:f>IF('Drivers'!$D$4="","",'Drivers'!$D$4)</x:f>
      </x:c>
      <x:c r="E75" s="69" t="n">
        <x:f>'STR Build'!I$6</x:f>
        <x:v>46478</x:v>
      </x:c>
      <x:c r="F75" s="42" t="str">
        <x:f>IF('Drivers'!$D$10="","",'Drivers'!$D$10)</x:f>
        <x:v>Working Draft</x:v>
      </x:c>
      <x:c r="G75" s="42" t="str">
        <x:f>IF('GL Mapping'!I9="",'GL Mapping'!C9,'GL Mapping'!I9)</x:f>
        <x:v>410300</x:v>
      </x:c>
      <x:c r="H75" s="42" t="str">
        <x:v>Other guest fee income</x:v>
      </x:c>
      <x:c r="I75" s="42" t="str">
        <x:f>IF('Drivers'!$D$11="","",'Drivers'!$D$11)</x:f>
        <x:v>Short-Term Rentals</x:v>
      </x:c>
      <x:c r="J75" s="42" t="str">
        <x:f>IF('Drivers'!$D$8="","",'Drivers'!$D$8)</x:f>
        <x:v>USD</x:v>
      </x:c>
      <x:c r="K75" s="42" t="str">
        <x:f>IF('Drivers'!$D$21="","",'Drivers'!$D$21)</x:f>
        <x:v>Calendar</x:v>
      </x:c>
      <x:c r="L75" s="42" t="str">
        <x:f>IF('Drivers'!$D$9="","",'Drivers'!$D$9)</x:f>
        <x:v>Accrual</x:v>
      </x:c>
      <x:c r="M75" s="70" t="str">
        <x:f>IF('Drivers'!$D$12="","",'Drivers'!$D$12)</x:f>
      </x:c>
      <x:c r="N75" s="42" t="str">
        <x:f>IF('Drivers'!$D$15="","",'Drivers'!$D$15)</x:f>
      </x:c>
      <x:c r="O75" s="42" t="str">
        <x:v>income</x:v>
      </x:c>
      <x:c r="P75" s="42" t="str">
        <x:v>above_noi</x:v>
      </x:c>
      <x:c r="Q75" s="42" t="n">
        <x:v>1</x:v>
      </x:c>
      <x:c r="R75" s="51" t="str">
        <x:f>IF(V75="Closed: excluded","",IF(ISNUMBER('STR Build'!I30),'STR Build'!I30,""))</x:f>
      </x:c>
      <x:c r="S75" s="42" t="str">
        <x:v>STR Build!I30</x:v>
      </x:c>
      <x:c r="T75" s="42" t="str">
        <x:v>Formula</x:v>
      </x:c>
      <x:c r="U75" s="67" t="str">
        <x:f>IF(ISNUMBER(R75),IF(R75=0,"Populated zero","Populated"),"Missing")</x:f>
        <x:v>Missing</x:v>
      </x:c>
      <x:c r="V75" s="67" t="str">
        <x:f>IF(AND(ISNUMBER('Drivers'!$D$12),E75&lt;='Drivers'!$D$12),"Closed: excluded","Open forecast")</x:f>
        <x:v>Open forecast</x:v>
      </x:c>
    </x:row>
    <x:row r="76" ht="22" customHeight="1">
      <x:c r="A76" s="42"/>
      <x:c r="B76" s="42"/>
      <x:c r="C76" s="42" t="str">
        <x:f>IF('Drivers'!$D$5="","",'Drivers'!$D$5)</x:f>
      </x:c>
      <x:c r="D76" s="42" t="str">
        <x:f>IF('Drivers'!$D$4="","",'Drivers'!$D$4)</x:f>
      </x:c>
      <x:c r="E76" s="69" t="n">
        <x:f>'STR Build'!I$6</x:f>
        <x:v>46478</x:v>
      </x:c>
      <x:c r="F76" s="42" t="str">
        <x:f>IF('Drivers'!$D$10="","",'Drivers'!$D$10)</x:f>
        <x:v>Working Draft</x:v>
      </x:c>
      <x:c r="G76" s="42" t="str">
        <x:f>IF('GL Mapping'!I10="",'GL Mapping'!C10,'GL Mapping'!I10)</x:f>
        <x:v>419100</x:v>
      </x:c>
      <x:c r="H76" s="42" t="str">
        <x:v>Refunds and discounts</x:v>
      </x:c>
      <x:c r="I76" s="42" t="str">
        <x:f>IF('Drivers'!$D$11="","",'Drivers'!$D$11)</x:f>
        <x:v>Short-Term Rentals</x:v>
      </x:c>
      <x:c r="J76" s="42" t="str">
        <x:f>IF('Drivers'!$D$8="","",'Drivers'!$D$8)</x:f>
        <x:v>USD</x:v>
      </x:c>
      <x:c r="K76" s="42" t="str">
        <x:f>IF('Drivers'!$D$21="","",'Drivers'!$D$21)</x:f>
        <x:v>Calendar</x:v>
      </x:c>
      <x:c r="L76" s="42" t="str">
        <x:f>IF('Drivers'!$D$9="","",'Drivers'!$D$9)</x:f>
        <x:v>Accrual</x:v>
      </x:c>
      <x:c r="M76" s="70" t="str">
        <x:f>IF('Drivers'!$D$12="","",'Drivers'!$D$12)</x:f>
      </x:c>
      <x:c r="N76" s="42" t="str">
        <x:f>IF('Drivers'!$D$15="","",'Drivers'!$D$15)</x:f>
      </x:c>
      <x:c r="O76" s="42" t="str">
        <x:v>contra_income</x:v>
      </x:c>
      <x:c r="P76" s="42" t="str">
        <x:v>above_noi</x:v>
      </x:c>
      <x:c r="Q76" s="42" t="n">
        <x:v>1</x:v>
      </x:c>
      <x:c r="R76" s="51" t="str">
        <x:f>IF(V76="Closed: excluded","",IF(ISNUMBER('STR Build'!I32),'STR Build'!I32,""))</x:f>
      </x:c>
      <x:c r="S76" s="42" t="str">
        <x:v>STR Build!I32</x:v>
      </x:c>
      <x:c r="T76" s="42" t="str">
        <x:v>Formula</x:v>
      </x:c>
      <x:c r="U76" s="67" t="str">
        <x:f>IF(ISNUMBER(R76),IF(R76=0,"Populated zero","Populated"),"Missing")</x:f>
        <x:v>Missing</x:v>
      </x:c>
      <x:c r="V76" s="67" t="str">
        <x:f>IF(AND(ISNUMBER('Drivers'!$D$12),E76&lt;='Drivers'!$D$12),"Closed: excluded","Open forecast")</x:f>
        <x:v>Open forecast</x:v>
      </x:c>
    </x:row>
    <x:row r="77" ht="22" customHeight="1">
      <x:c r="A77" s="42"/>
      <x:c r="B77" s="42"/>
      <x:c r="C77" s="42" t="str">
        <x:f>IF('Drivers'!$D$5="","",'Drivers'!$D$5)</x:f>
      </x:c>
      <x:c r="D77" s="42" t="str">
        <x:f>IF('Drivers'!$D$4="","",'Drivers'!$D$4)</x:f>
      </x:c>
      <x:c r="E77" s="69" t="n">
        <x:f>'STR Build'!I$6</x:f>
        <x:v>46478</x:v>
      </x:c>
      <x:c r="F77" s="42" t="str">
        <x:f>IF('Drivers'!$D$10="","",'Drivers'!$D$10)</x:f>
        <x:v>Working Draft</x:v>
      </x:c>
      <x:c r="G77" s="42" t="str">
        <x:f>IF('GL Mapping'!I11="",'GL Mapping'!C11,'GL Mapping'!I11)</x:f>
        <x:v>419200</x:v>
      </x:c>
      <x:c r="H77" s="42" t="str">
        <x:v>Bad debt</x:v>
      </x:c>
      <x:c r="I77" s="42" t="str">
        <x:f>IF('Drivers'!$D$11="","",'Drivers'!$D$11)</x:f>
        <x:v>Short-Term Rentals</x:v>
      </x:c>
      <x:c r="J77" s="42" t="str">
        <x:f>IF('Drivers'!$D$8="","",'Drivers'!$D$8)</x:f>
        <x:v>USD</x:v>
      </x:c>
      <x:c r="K77" s="42" t="str">
        <x:f>IF('Drivers'!$D$21="","",'Drivers'!$D$21)</x:f>
        <x:v>Calendar</x:v>
      </x:c>
      <x:c r="L77" s="42" t="str">
        <x:f>IF('Drivers'!$D$9="","",'Drivers'!$D$9)</x:f>
        <x:v>Accrual</x:v>
      </x:c>
      <x:c r="M77" s="70" t="str">
        <x:f>IF('Drivers'!$D$12="","",'Drivers'!$D$12)</x:f>
      </x:c>
      <x:c r="N77" s="42" t="str">
        <x:f>IF('Drivers'!$D$15="","",'Drivers'!$D$15)</x:f>
      </x:c>
      <x:c r="O77" s="42" t="str">
        <x:v>contra_income</x:v>
      </x:c>
      <x:c r="P77" s="42" t="str">
        <x:v>above_noi</x:v>
      </x:c>
      <x:c r="Q77" s="42" t="n">
        <x:v>1</x:v>
      </x:c>
      <x:c r="R77" s="51" t="str">
        <x:f>IF(V77="Closed: excluded","",IF(ISNUMBER('STR Build'!I33),'STR Build'!I33,""))</x:f>
      </x:c>
      <x:c r="S77" s="42" t="str">
        <x:v>STR Build!I33</x:v>
      </x:c>
      <x:c r="T77" s="42" t="str">
        <x:v>Formula</x:v>
      </x:c>
      <x:c r="U77" s="67" t="str">
        <x:f>IF(ISNUMBER(R77),IF(R77=0,"Populated zero","Populated"),"Missing")</x:f>
        <x:v>Missing</x:v>
      </x:c>
      <x:c r="V77" s="67" t="str">
        <x:f>IF(AND(ISNUMBER('Drivers'!$D$12),E77&lt;='Drivers'!$D$12),"Closed: excluded","Open forecast")</x:f>
        <x:v>Open forecast</x:v>
      </x:c>
    </x:row>
    <x:row r="78" ht="22" customHeight="1">
      <x:c r="A78" s="42"/>
      <x:c r="B78" s="42"/>
      <x:c r="C78" s="42" t="str">
        <x:f>IF('Drivers'!$D$5="","",'Drivers'!$D$5)</x:f>
      </x:c>
      <x:c r="D78" s="42" t="str">
        <x:f>IF('Drivers'!$D$4="","",'Drivers'!$D$4)</x:f>
      </x:c>
      <x:c r="E78" s="69" t="n">
        <x:f>'STR Build'!I$6</x:f>
        <x:v>46478</x:v>
      </x:c>
      <x:c r="F78" s="42" t="str">
        <x:f>IF('Drivers'!$D$10="","",'Drivers'!$D$10)</x:f>
        <x:v>Working Draft</x:v>
      </x:c>
      <x:c r="G78" s="42" t="str">
        <x:f>IF('GL Mapping'!I12="",'GL Mapping'!C12,'GL Mapping'!I12)</x:f>
        <x:v>610100</x:v>
      </x:c>
      <x:c r="H78" s="42" t="str">
        <x:v>Channel commissions</x:v>
      </x:c>
      <x:c r="I78" s="42" t="str">
        <x:f>IF('Drivers'!$D$11="","",'Drivers'!$D$11)</x:f>
        <x:v>Short-Term Rentals</x:v>
      </x:c>
      <x:c r="J78" s="42" t="str">
        <x:f>IF('Drivers'!$D$8="","",'Drivers'!$D$8)</x:f>
        <x:v>USD</x:v>
      </x:c>
      <x:c r="K78" s="42" t="str">
        <x:f>IF('Drivers'!$D$21="","",'Drivers'!$D$21)</x:f>
        <x:v>Calendar</x:v>
      </x:c>
      <x:c r="L78" s="42" t="str">
        <x:f>IF('Drivers'!$D$9="","",'Drivers'!$D$9)</x:f>
        <x:v>Accrual</x:v>
      </x:c>
      <x:c r="M78" s="70" t="str">
        <x:f>IF('Drivers'!$D$12="","",'Drivers'!$D$12)</x:f>
      </x:c>
      <x:c r="N78" s="42" t="str">
        <x:f>IF('Drivers'!$D$15="","",'Drivers'!$D$15)</x:f>
      </x:c>
      <x:c r="O78" s="42" t="str">
        <x:v>expense</x:v>
      </x:c>
      <x:c r="P78" s="42" t="str">
        <x:v>above_noi</x:v>
      </x:c>
      <x:c r="Q78" s="42" t="n">
        <x:v>1</x:v>
      </x:c>
      <x:c r="R78" s="51" t="str">
        <x:f>IF(V78="Closed: excluded","",IF(ISNUMBER('STR Build'!I36),'STR Build'!I36,""))</x:f>
      </x:c>
      <x:c r="S78" s="42" t="str">
        <x:v>STR Build!I36</x:v>
      </x:c>
      <x:c r="T78" s="42" t="str">
        <x:v>Formula</x:v>
      </x:c>
      <x:c r="U78" s="67" t="str">
        <x:f>IF(ISNUMBER(R78),IF(R78=0,"Populated zero","Populated"),"Missing")</x:f>
        <x:v>Missing</x:v>
      </x:c>
      <x:c r="V78" s="67" t="str">
        <x:f>IF(AND(ISNUMBER('Drivers'!$D$12),E78&lt;='Drivers'!$D$12),"Closed: excluded","Open forecast")</x:f>
        <x:v>Open forecast</x:v>
      </x:c>
    </x:row>
    <x:row r="79" ht="22" customHeight="1">
      <x:c r="A79" s="42"/>
      <x:c r="B79" s="42"/>
      <x:c r="C79" s="42" t="str">
        <x:f>IF('Drivers'!$D$5="","",'Drivers'!$D$5)</x:f>
      </x:c>
      <x:c r="D79" s="42" t="str">
        <x:f>IF('Drivers'!$D$4="","",'Drivers'!$D$4)</x:f>
      </x:c>
      <x:c r="E79" s="69" t="n">
        <x:f>'STR Build'!I$6</x:f>
        <x:v>46478</x:v>
      </x:c>
      <x:c r="F79" s="42" t="str">
        <x:f>IF('Drivers'!$D$10="","",'Drivers'!$D$10)</x:f>
        <x:v>Working Draft</x:v>
      </x:c>
      <x:c r="G79" s="42" t="str">
        <x:f>IF('GL Mapping'!I13="",'GL Mapping'!C13,'GL Mapping'!I13)</x:f>
        <x:v>610200</x:v>
      </x:c>
      <x:c r="H79" s="42" t="str">
        <x:v>Cleaning expense</x:v>
      </x:c>
      <x:c r="I79" s="42" t="str">
        <x:f>IF('Drivers'!$D$11="","",'Drivers'!$D$11)</x:f>
        <x:v>Short-Term Rentals</x:v>
      </x:c>
      <x:c r="J79" s="42" t="str">
        <x:f>IF('Drivers'!$D$8="","",'Drivers'!$D$8)</x:f>
        <x:v>USD</x:v>
      </x:c>
      <x:c r="K79" s="42" t="str">
        <x:f>IF('Drivers'!$D$21="","",'Drivers'!$D$21)</x:f>
        <x:v>Calendar</x:v>
      </x:c>
      <x:c r="L79" s="42" t="str">
        <x:f>IF('Drivers'!$D$9="","",'Drivers'!$D$9)</x:f>
        <x:v>Accrual</x:v>
      </x:c>
      <x:c r="M79" s="70" t="str">
        <x:f>IF('Drivers'!$D$12="","",'Drivers'!$D$12)</x:f>
      </x:c>
      <x:c r="N79" s="42" t="str">
        <x:f>IF('Drivers'!$D$15="","",'Drivers'!$D$15)</x:f>
      </x:c>
      <x:c r="O79" s="42" t="str">
        <x:v>expense</x:v>
      </x:c>
      <x:c r="P79" s="42" t="str">
        <x:v>above_noi</x:v>
      </x:c>
      <x:c r="Q79" s="42" t="n">
        <x:v>1</x:v>
      </x:c>
      <x:c r="R79" s="51" t="str">
        <x:f>IF(V79="Closed: excluded","",IF(ISNUMBER('STR Build'!I37),'STR Build'!I37,""))</x:f>
      </x:c>
      <x:c r="S79" s="42" t="str">
        <x:v>STR Build!I37</x:v>
      </x:c>
      <x:c r="T79" s="42" t="str">
        <x:v>Formula</x:v>
      </x:c>
      <x:c r="U79" s="67" t="str">
        <x:f>IF(ISNUMBER(R79),IF(R79=0,"Populated zero","Populated"),"Missing")</x:f>
        <x:v>Missing</x:v>
      </x:c>
      <x:c r="V79" s="67" t="str">
        <x:f>IF(AND(ISNUMBER('Drivers'!$D$12),E79&lt;='Drivers'!$D$12),"Closed: excluded","Open forecast")</x:f>
        <x:v>Open forecast</x:v>
      </x:c>
    </x:row>
    <x:row r="80" ht="22" customHeight="1">
      <x:c r="A80" s="42"/>
      <x:c r="B80" s="42"/>
      <x:c r="C80" s="42" t="str">
        <x:f>IF('Drivers'!$D$5="","",'Drivers'!$D$5)</x:f>
      </x:c>
      <x:c r="D80" s="42" t="str">
        <x:f>IF('Drivers'!$D$4="","",'Drivers'!$D$4)</x:f>
      </x:c>
      <x:c r="E80" s="69" t="n">
        <x:f>'STR Build'!I$6</x:f>
        <x:v>46478</x:v>
      </x:c>
      <x:c r="F80" s="42" t="str">
        <x:f>IF('Drivers'!$D$10="","",'Drivers'!$D$10)</x:f>
        <x:v>Working Draft</x:v>
      </x:c>
      <x:c r="G80" s="42" t="str">
        <x:f>IF('GL Mapping'!I14="",'GL Mapping'!C14,'GL Mapping'!I14)</x:f>
        <x:v>610300</x:v>
      </x:c>
      <x:c r="H80" s="42" t="str">
        <x:v>Property-borne lodging tax</x:v>
      </x:c>
      <x:c r="I80" s="42" t="str">
        <x:f>IF('Drivers'!$D$11="","",'Drivers'!$D$11)</x:f>
        <x:v>Short-Term Rentals</x:v>
      </x:c>
      <x:c r="J80" s="42" t="str">
        <x:f>IF('Drivers'!$D$8="","",'Drivers'!$D$8)</x:f>
        <x:v>USD</x:v>
      </x:c>
      <x:c r="K80" s="42" t="str">
        <x:f>IF('Drivers'!$D$21="","",'Drivers'!$D$21)</x:f>
        <x:v>Calendar</x:v>
      </x:c>
      <x:c r="L80" s="42" t="str">
        <x:f>IF('Drivers'!$D$9="","",'Drivers'!$D$9)</x:f>
        <x:v>Accrual</x:v>
      </x:c>
      <x:c r="M80" s="70" t="str">
        <x:f>IF('Drivers'!$D$12="","",'Drivers'!$D$12)</x:f>
      </x:c>
      <x:c r="N80" s="42" t="str">
        <x:f>IF('Drivers'!$D$15="","",'Drivers'!$D$15)</x:f>
      </x:c>
      <x:c r="O80" s="42" t="str">
        <x:v>expense</x:v>
      </x:c>
      <x:c r="P80" s="42" t="str">
        <x:v>above_noi</x:v>
      </x:c>
      <x:c r="Q80" s="42" t="n">
        <x:v>1</x:v>
      </x:c>
      <x:c r="R80" s="51" t="str">
        <x:f>IF(V80="Closed: excluded","",IF(ISNUMBER('STR Build'!I38),'STR Build'!I38,""))</x:f>
      </x:c>
      <x:c r="S80" s="42" t="str">
        <x:v>STR Build!I38</x:v>
      </x:c>
      <x:c r="T80" s="42" t="str">
        <x:v>Formula</x:v>
      </x:c>
      <x:c r="U80" s="67" t="str">
        <x:f>IF(ISNUMBER(R80),IF(R80=0,"Populated zero","Populated"),"Missing")</x:f>
        <x:v>Missing</x:v>
      </x:c>
      <x:c r="V80" s="67" t="str">
        <x:f>IF(AND(ISNUMBER('Drivers'!$D$12),E80&lt;='Drivers'!$D$12),"Closed: excluded","Open forecast")</x:f>
        <x:v>Open forecast</x:v>
      </x:c>
    </x:row>
    <x:row r="81" ht="22" customHeight="1">
      <x:c r="A81" s="42"/>
      <x:c r="B81" s="42"/>
      <x:c r="C81" s="42" t="str">
        <x:f>IF('Drivers'!$D$5="","",'Drivers'!$D$5)</x:f>
      </x:c>
      <x:c r="D81" s="42" t="str">
        <x:f>IF('Drivers'!$D$4="","",'Drivers'!$D$4)</x:f>
      </x:c>
      <x:c r="E81" s="69" t="n">
        <x:f>'STR Build'!I$6</x:f>
        <x:v>46478</x:v>
      </x:c>
      <x:c r="F81" s="42" t="str">
        <x:f>IF('Drivers'!$D$10="","",'Drivers'!$D$10)</x:f>
        <x:v>Working Draft</x:v>
      </x:c>
      <x:c r="G81" s="42" t="str">
        <x:f>IF('GL Mapping'!I15="",'GL Mapping'!C15,'GL Mapping'!I15)</x:f>
        <x:v>610400</x:v>
      </x:c>
      <x:c r="H81" s="42" t="str">
        <x:v>Supplies</x:v>
      </x:c>
      <x:c r="I81" s="42" t="str">
        <x:f>IF('Drivers'!$D$11="","",'Drivers'!$D$11)</x:f>
        <x:v>Short-Term Rentals</x:v>
      </x:c>
      <x:c r="J81" s="42" t="str">
        <x:f>IF('Drivers'!$D$8="","",'Drivers'!$D$8)</x:f>
        <x:v>USD</x:v>
      </x:c>
      <x:c r="K81" s="42" t="str">
        <x:f>IF('Drivers'!$D$21="","",'Drivers'!$D$21)</x:f>
        <x:v>Calendar</x:v>
      </x:c>
      <x:c r="L81" s="42" t="str">
        <x:f>IF('Drivers'!$D$9="","",'Drivers'!$D$9)</x:f>
        <x:v>Accrual</x:v>
      </x:c>
      <x:c r="M81" s="70" t="str">
        <x:f>IF('Drivers'!$D$12="","",'Drivers'!$D$12)</x:f>
      </x:c>
      <x:c r="N81" s="42" t="str">
        <x:f>IF('Drivers'!$D$15="","",'Drivers'!$D$15)</x:f>
      </x:c>
      <x:c r="O81" s="42" t="str">
        <x:v>expense</x:v>
      </x:c>
      <x:c r="P81" s="42" t="str">
        <x:v>above_noi</x:v>
      </x:c>
      <x:c r="Q81" s="42" t="n">
        <x:v>1</x:v>
      </x:c>
      <x:c r="R81" s="51" t="str">
        <x:f>IF(V81="Closed: excluded","",IF(ISNUMBER('STR Build'!I39),'STR Build'!I39,""))</x:f>
      </x:c>
      <x:c r="S81" s="42" t="str">
        <x:v>STR Build!I39</x:v>
      </x:c>
      <x:c r="T81" s="42" t="str">
        <x:v>Formula</x:v>
      </x:c>
      <x:c r="U81" s="67" t="str">
        <x:f>IF(ISNUMBER(R81),IF(R81=0,"Populated zero","Populated"),"Missing")</x:f>
        <x:v>Missing</x:v>
      </x:c>
      <x:c r="V81" s="67" t="str">
        <x:f>IF(AND(ISNUMBER('Drivers'!$D$12),E81&lt;='Drivers'!$D$12),"Closed: excluded","Open forecast")</x:f>
        <x:v>Open forecast</x:v>
      </x:c>
    </x:row>
    <x:row r="82" ht="22" customHeight="1">
      <x:c r="A82" s="42"/>
      <x:c r="B82" s="42"/>
      <x:c r="C82" s="42" t="str">
        <x:f>IF('Drivers'!$D$5="","",'Drivers'!$D$5)</x:f>
      </x:c>
      <x:c r="D82" s="42" t="str">
        <x:f>IF('Drivers'!$D$4="","",'Drivers'!$D$4)</x:f>
      </x:c>
      <x:c r="E82" s="69" t="n">
        <x:f>'STR Build'!I$6</x:f>
        <x:v>46478</x:v>
      </x:c>
      <x:c r="F82" s="42" t="str">
        <x:f>IF('Drivers'!$D$10="","",'Drivers'!$D$10)</x:f>
        <x:v>Working Draft</x:v>
      </x:c>
      <x:c r="G82" s="42" t="str">
        <x:f>IF('GL Mapping'!I16="",'GL Mapping'!C16,'GL Mapping'!I16)</x:f>
        <x:v>620100</x:v>
      </x:c>
      <x:c r="H82" s="42" t="str">
        <x:v>Payroll</x:v>
      </x:c>
      <x:c r="I82" s="42" t="str">
        <x:f>IF('Drivers'!$D$11="","",'Drivers'!$D$11)</x:f>
        <x:v>Short-Term Rentals</x:v>
      </x:c>
      <x:c r="J82" s="42" t="str">
        <x:f>IF('Drivers'!$D$8="","",'Drivers'!$D$8)</x:f>
        <x:v>USD</x:v>
      </x:c>
      <x:c r="K82" s="42" t="str">
        <x:f>IF('Drivers'!$D$21="","",'Drivers'!$D$21)</x:f>
        <x:v>Calendar</x:v>
      </x:c>
      <x:c r="L82" s="42" t="str">
        <x:f>IF('Drivers'!$D$9="","",'Drivers'!$D$9)</x:f>
        <x:v>Accrual</x:v>
      </x:c>
      <x:c r="M82" s="70" t="str">
        <x:f>IF('Drivers'!$D$12="","",'Drivers'!$D$12)</x:f>
      </x:c>
      <x:c r="N82" s="42" t="str">
        <x:f>IF('Drivers'!$D$15="","",'Drivers'!$D$15)</x:f>
      </x:c>
      <x:c r="O82" s="42" t="str">
        <x:v>expense</x:v>
      </x:c>
      <x:c r="P82" s="42" t="str">
        <x:v>above_noi</x:v>
      </x:c>
      <x:c r="Q82" s="42" t="n">
        <x:v>1</x:v>
      </x:c>
      <x:c r="R82" s="51" t="str">
        <x:f>IF(V82="Closed: excluded","",IF(ISNUMBER('STR Build'!I40),'STR Build'!I40,""))</x:f>
      </x:c>
      <x:c r="S82" s="42" t="str">
        <x:v>STR Build!I40</x:v>
      </x:c>
      <x:c r="T82" s="42" t="str">
        <x:v>Formula</x:v>
      </x:c>
      <x:c r="U82" s="67" t="str">
        <x:f>IF(ISNUMBER(R82),IF(R82=0,"Populated zero","Populated"),"Missing")</x:f>
        <x:v>Missing</x:v>
      </x:c>
      <x:c r="V82" s="67" t="str">
        <x:f>IF(AND(ISNUMBER('Drivers'!$D$12),E82&lt;='Drivers'!$D$12),"Closed: excluded","Open forecast")</x:f>
        <x:v>Open forecast</x:v>
      </x:c>
    </x:row>
    <x:row r="83" ht="22" customHeight="1">
      <x:c r="A83" s="42"/>
      <x:c r="B83" s="42"/>
      <x:c r="C83" s="42" t="str">
        <x:f>IF('Drivers'!$D$5="","",'Drivers'!$D$5)</x:f>
      </x:c>
      <x:c r="D83" s="42" t="str">
        <x:f>IF('Drivers'!$D$4="","",'Drivers'!$D$4)</x:f>
      </x:c>
      <x:c r="E83" s="69" t="n">
        <x:f>'STR Build'!I$6</x:f>
        <x:v>46478</x:v>
      </x:c>
      <x:c r="F83" s="42" t="str">
        <x:f>IF('Drivers'!$D$10="","",'Drivers'!$D$10)</x:f>
        <x:v>Working Draft</x:v>
      </x:c>
      <x:c r="G83" s="42" t="str">
        <x:f>IF('GL Mapping'!I17="",'GL Mapping'!C17,'GL Mapping'!I17)</x:f>
        <x:v>630100</x:v>
      </x:c>
      <x:c r="H83" s="42" t="str">
        <x:v>Utilities</x:v>
      </x:c>
      <x:c r="I83" s="42" t="str">
        <x:f>IF('Drivers'!$D$11="","",'Drivers'!$D$11)</x:f>
        <x:v>Short-Term Rentals</x:v>
      </x:c>
      <x:c r="J83" s="42" t="str">
        <x:f>IF('Drivers'!$D$8="","",'Drivers'!$D$8)</x:f>
        <x:v>USD</x:v>
      </x:c>
      <x:c r="K83" s="42" t="str">
        <x:f>IF('Drivers'!$D$21="","",'Drivers'!$D$21)</x:f>
        <x:v>Calendar</x:v>
      </x:c>
      <x:c r="L83" s="42" t="str">
        <x:f>IF('Drivers'!$D$9="","",'Drivers'!$D$9)</x:f>
        <x:v>Accrual</x:v>
      </x:c>
      <x:c r="M83" s="70" t="str">
        <x:f>IF('Drivers'!$D$12="","",'Drivers'!$D$12)</x:f>
      </x:c>
      <x:c r="N83" s="42" t="str">
        <x:f>IF('Drivers'!$D$15="","",'Drivers'!$D$15)</x:f>
      </x:c>
      <x:c r="O83" s="42" t="str">
        <x:v>expense</x:v>
      </x:c>
      <x:c r="P83" s="42" t="str">
        <x:v>above_noi</x:v>
      </x:c>
      <x:c r="Q83" s="42" t="n">
        <x:v>1</x:v>
      </x:c>
      <x:c r="R83" s="51" t="str">
        <x:f>IF(V83="Closed: excluded","",IF(ISNUMBER('STR Build'!I41),'STR Build'!I41,""))</x:f>
      </x:c>
      <x:c r="S83" s="42" t="str">
        <x:v>STR Build!I41</x:v>
      </x:c>
      <x:c r="T83" s="42" t="str">
        <x:v>Formula</x:v>
      </x:c>
      <x:c r="U83" s="67" t="str">
        <x:f>IF(ISNUMBER(R83),IF(R83=0,"Populated zero","Populated"),"Missing")</x:f>
        <x:v>Missing</x:v>
      </x:c>
      <x:c r="V83" s="67" t="str">
        <x:f>IF(AND(ISNUMBER('Drivers'!$D$12),E83&lt;='Drivers'!$D$12),"Closed: excluded","Open forecast")</x:f>
        <x:v>Open forecast</x:v>
      </x:c>
    </x:row>
    <x:row r="84" ht="22" customHeight="1">
      <x:c r="A84" s="42"/>
      <x:c r="B84" s="42"/>
      <x:c r="C84" s="42" t="str">
        <x:f>IF('Drivers'!$D$5="","",'Drivers'!$D$5)</x:f>
      </x:c>
      <x:c r="D84" s="42" t="str">
        <x:f>IF('Drivers'!$D$4="","",'Drivers'!$D$4)</x:f>
      </x:c>
      <x:c r="E84" s="69" t="n">
        <x:f>'STR Build'!I$6</x:f>
        <x:v>46478</x:v>
      </x:c>
      <x:c r="F84" s="42" t="str">
        <x:f>IF('Drivers'!$D$10="","",'Drivers'!$D$10)</x:f>
        <x:v>Working Draft</x:v>
      </x:c>
      <x:c r="G84" s="42" t="str">
        <x:f>IF('GL Mapping'!I18="",'GL Mapping'!C18,'GL Mapping'!I18)</x:f>
        <x:v>640100</x:v>
      </x:c>
      <x:c r="H84" s="42" t="str">
        <x:v>Contracts</x:v>
      </x:c>
      <x:c r="I84" s="42" t="str">
        <x:f>IF('Drivers'!$D$11="","",'Drivers'!$D$11)</x:f>
        <x:v>Short-Term Rentals</x:v>
      </x:c>
      <x:c r="J84" s="42" t="str">
        <x:f>IF('Drivers'!$D$8="","",'Drivers'!$D$8)</x:f>
        <x:v>USD</x:v>
      </x:c>
      <x:c r="K84" s="42" t="str">
        <x:f>IF('Drivers'!$D$21="","",'Drivers'!$D$21)</x:f>
        <x:v>Calendar</x:v>
      </x:c>
      <x:c r="L84" s="42" t="str">
        <x:f>IF('Drivers'!$D$9="","",'Drivers'!$D$9)</x:f>
        <x:v>Accrual</x:v>
      </x:c>
      <x:c r="M84" s="70" t="str">
        <x:f>IF('Drivers'!$D$12="","",'Drivers'!$D$12)</x:f>
      </x:c>
      <x:c r="N84" s="42" t="str">
        <x:f>IF('Drivers'!$D$15="","",'Drivers'!$D$15)</x:f>
      </x:c>
      <x:c r="O84" s="42" t="str">
        <x:v>expense</x:v>
      </x:c>
      <x:c r="P84" s="42" t="str">
        <x:v>above_noi</x:v>
      </x:c>
      <x:c r="Q84" s="42" t="n">
        <x:v>1</x:v>
      </x:c>
      <x:c r="R84" s="51" t="str">
        <x:f>IF(V84="Closed: excluded","",IF(ISNUMBER('STR Build'!I42),'STR Build'!I42,""))</x:f>
      </x:c>
      <x:c r="S84" s="42" t="str">
        <x:v>STR Build!I42</x:v>
      </x:c>
      <x:c r="T84" s="42" t="str">
        <x:v>Formula</x:v>
      </x:c>
      <x:c r="U84" s="67" t="str">
        <x:f>IF(ISNUMBER(R84),IF(R84=0,"Populated zero","Populated"),"Missing")</x:f>
        <x:v>Missing</x:v>
      </x:c>
      <x:c r="V84" s="67" t="str">
        <x:f>IF(AND(ISNUMBER('Drivers'!$D$12),E84&lt;='Drivers'!$D$12),"Closed: excluded","Open forecast")</x:f>
        <x:v>Open forecast</x:v>
      </x:c>
    </x:row>
    <x:row r="85" ht="22" customHeight="1">
      <x:c r="A85" s="42"/>
      <x:c r="B85" s="42"/>
      <x:c r="C85" s="42" t="str">
        <x:f>IF('Drivers'!$D$5="","",'Drivers'!$D$5)</x:f>
      </x:c>
      <x:c r="D85" s="42" t="str">
        <x:f>IF('Drivers'!$D$4="","",'Drivers'!$D$4)</x:f>
      </x:c>
      <x:c r="E85" s="69" t="n">
        <x:f>'STR Build'!I$6</x:f>
        <x:v>46478</x:v>
      </x:c>
      <x:c r="F85" s="42" t="str">
        <x:f>IF('Drivers'!$D$10="","",'Drivers'!$D$10)</x:f>
        <x:v>Working Draft</x:v>
      </x:c>
      <x:c r="G85" s="42" t="str">
        <x:f>IF('GL Mapping'!I19="",'GL Mapping'!C19,'GL Mapping'!I19)</x:f>
        <x:v>650100</x:v>
      </x:c>
      <x:c r="H85" s="42" t="str">
        <x:v>Marketing</x:v>
      </x:c>
      <x:c r="I85" s="42" t="str">
        <x:f>IF('Drivers'!$D$11="","",'Drivers'!$D$11)</x:f>
        <x:v>Short-Term Rentals</x:v>
      </x:c>
      <x:c r="J85" s="42" t="str">
        <x:f>IF('Drivers'!$D$8="","",'Drivers'!$D$8)</x:f>
        <x:v>USD</x:v>
      </x:c>
      <x:c r="K85" s="42" t="str">
        <x:f>IF('Drivers'!$D$21="","",'Drivers'!$D$21)</x:f>
        <x:v>Calendar</x:v>
      </x:c>
      <x:c r="L85" s="42" t="str">
        <x:f>IF('Drivers'!$D$9="","",'Drivers'!$D$9)</x:f>
        <x:v>Accrual</x:v>
      </x:c>
      <x:c r="M85" s="70" t="str">
        <x:f>IF('Drivers'!$D$12="","",'Drivers'!$D$12)</x:f>
      </x:c>
      <x:c r="N85" s="42" t="str">
        <x:f>IF('Drivers'!$D$15="","",'Drivers'!$D$15)</x:f>
      </x:c>
      <x:c r="O85" s="42" t="str">
        <x:v>expense</x:v>
      </x:c>
      <x:c r="P85" s="42" t="str">
        <x:v>above_noi</x:v>
      </x:c>
      <x:c r="Q85" s="42" t="n">
        <x:v>1</x:v>
      </x:c>
      <x:c r="R85" s="51" t="str">
        <x:f>IF(V85="Closed: excluded","",IF(ISNUMBER('STR Build'!I43),'STR Build'!I43,""))</x:f>
      </x:c>
      <x:c r="S85" s="42" t="str">
        <x:v>STR Build!I43</x:v>
      </x:c>
      <x:c r="T85" s="42" t="str">
        <x:v>Formula</x:v>
      </x:c>
      <x:c r="U85" s="67" t="str">
        <x:f>IF(ISNUMBER(R85),IF(R85=0,"Populated zero","Populated"),"Missing")</x:f>
        <x:v>Missing</x:v>
      </x:c>
      <x:c r="V85" s="67" t="str">
        <x:f>IF(AND(ISNUMBER('Drivers'!$D$12),E85&lt;='Drivers'!$D$12),"Closed: excluded","Open forecast")</x:f>
        <x:v>Open forecast</x:v>
      </x:c>
    </x:row>
    <x:row r="86" ht="22" customHeight="1">
      <x:c r="A86" s="42"/>
      <x:c r="B86" s="42"/>
      <x:c r="C86" s="42" t="str">
        <x:f>IF('Drivers'!$D$5="","",'Drivers'!$D$5)</x:f>
      </x:c>
      <x:c r="D86" s="42" t="str">
        <x:f>IF('Drivers'!$D$4="","",'Drivers'!$D$4)</x:f>
      </x:c>
      <x:c r="E86" s="69" t="n">
        <x:f>'STR Build'!I$6</x:f>
        <x:v>46478</x:v>
      </x:c>
      <x:c r="F86" s="42" t="str">
        <x:f>IF('Drivers'!$D$10="","",'Drivers'!$D$10)</x:f>
        <x:v>Working Draft</x:v>
      </x:c>
      <x:c r="G86" s="42" t="str">
        <x:f>IF('GL Mapping'!I20="",'GL Mapping'!C20,'GL Mapping'!I20)</x:f>
        <x:v>660100</x:v>
      </x:c>
      <x:c r="H86" s="42" t="str">
        <x:v>Maintenance</x:v>
      </x:c>
      <x:c r="I86" s="42" t="str">
        <x:f>IF('Drivers'!$D$11="","",'Drivers'!$D$11)</x:f>
        <x:v>Short-Term Rentals</x:v>
      </x:c>
      <x:c r="J86" s="42" t="str">
        <x:f>IF('Drivers'!$D$8="","",'Drivers'!$D$8)</x:f>
        <x:v>USD</x:v>
      </x:c>
      <x:c r="K86" s="42" t="str">
        <x:f>IF('Drivers'!$D$21="","",'Drivers'!$D$21)</x:f>
        <x:v>Calendar</x:v>
      </x:c>
      <x:c r="L86" s="42" t="str">
        <x:f>IF('Drivers'!$D$9="","",'Drivers'!$D$9)</x:f>
        <x:v>Accrual</x:v>
      </x:c>
      <x:c r="M86" s="70" t="str">
        <x:f>IF('Drivers'!$D$12="","",'Drivers'!$D$12)</x:f>
      </x:c>
      <x:c r="N86" s="42" t="str">
        <x:f>IF('Drivers'!$D$15="","",'Drivers'!$D$15)</x:f>
      </x:c>
      <x:c r="O86" s="42" t="str">
        <x:v>expense</x:v>
      </x:c>
      <x:c r="P86" s="42" t="str">
        <x:v>above_noi</x:v>
      </x:c>
      <x:c r="Q86" s="42" t="n">
        <x:v>1</x:v>
      </x:c>
      <x:c r="R86" s="51" t="str">
        <x:f>IF(V86="Closed: excluded","",IF(ISNUMBER('STR Build'!I44),'STR Build'!I44,""))</x:f>
      </x:c>
      <x:c r="S86" s="42" t="str">
        <x:v>STR Build!I44</x:v>
      </x:c>
      <x:c r="T86" s="42" t="str">
        <x:v>Formula</x:v>
      </x:c>
      <x:c r="U86" s="67" t="str">
        <x:f>IF(ISNUMBER(R86),IF(R86=0,"Populated zero","Populated"),"Missing")</x:f>
        <x:v>Missing</x:v>
      </x:c>
      <x:c r="V86" s="67" t="str">
        <x:f>IF(AND(ISNUMBER('Drivers'!$D$12),E86&lt;='Drivers'!$D$12),"Closed: excluded","Open forecast")</x:f>
        <x:v>Open forecast</x:v>
      </x:c>
    </x:row>
    <x:row r="87" ht="22" customHeight="1">
      <x:c r="A87" s="42"/>
      <x:c r="B87" s="42"/>
      <x:c r="C87" s="42" t="str">
        <x:f>IF('Drivers'!$D$5="","",'Drivers'!$D$5)</x:f>
      </x:c>
      <x:c r="D87" s="42" t="str">
        <x:f>IF('Drivers'!$D$4="","",'Drivers'!$D$4)</x:f>
      </x:c>
      <x:c r="E87" s="69" t="n">
        <x:f>'STR Build'!I$6</x:f>
        <x:v>46478</x:v>
      </x:c>
      <x:c r="F87" s="42" t="str">
        <x:f>IF('Drivers'!$D$10="","",'Drivers'!$D$10)</x:f>
        <x:v>Working Draft</x:v>
      </x:c>
      <x:c r="G87" s="42" t="str">
        <x:f>IF('GL Mapping'!I21="",'GL Mapping'!C21,'GL Mapping'!I21)</x:f>
        <x:v>670100</x:v>
      </x:c>
      <x:c r="H87" s="42" t="str">
        <x:v>Insurance</x:v>
      </x:c>
      <x:c r="I87" s="42" t="str">
        <x:f>IF('Drivers'!$D$11="","",'Drivers'!$D$11)</x:f>
        <x:v>Short-Term Rentals</x:v>
      </x:c>
      <x:c r="J87" s="42" t="str">
        <x:f>IF('Drivers'!$D$8="","",'Drivers'!$D$8)</x:f>
        <x:v>USD</x:v>
      </x:c>
      <x:c r="K87" s="42" t="str">
        <x:f>IF('Drivers'!$D$21="","",'Drivers'!$D$21)</x:f>
        <x:v>Calendar</x:v>
      </x:c>
      <x:c r="L87" s="42" t="str">
        <x:f>IF('Drivers'!$D$9="","",'Drivers'!$D$9)</x:f>
        <x:v>Accrual</x:v>
      </x:c>
      <x:c r="M87" s="70" t="str">
        <x:f>IF('Drivers'!$D$12="","",'Drivers'!$D$12)</x:f>
      </x:c>
      <x:c r="N87" s="42" t="str">
        <x:f>IF('Drivers'!$D$15="","",'Drivers'!$D$15)</x:f>
      </x:c>
      <x:c r="O87" s="42" t="str">
        <x:v>expense</x:v>
      </x:c>
      <x:c r="P87" s="42" t="str">
        <x:v>above_noi</x:v>
      </x:c>
      <x:c r="Q87" s="42" t="n">
        <x:v>1</x:v>
      </x:c>
      <x:c r="R87" s="51" t="str">
        <x:f>IF(V87="Closed: excluded","",IF(ISNUMBER('STR Build'!I45),'STR Build'!I45,""))</x:f>
      </x:c>
      <x:c r="S87" s="42" t="str">
        <x:v>STR Build!I45</x:v>
      </x:c>
      <x:c r="T87" s="42" t="str">
        <x:v>Formula</x:v>
      </x:c>
      <x:c r="U87" s="67" t="str">
        <x:f>IF(ISNUMBER(R87),IF(R87=0,"Populated zero","Populated"),"Missing")</x:f>
        <x:v>Missing</x:v>
      </x:c>
      <x:c r="V87" s="67" t="str">
        <x:f>IF(AND(ISNUMBER('Drivers'!$D$12),E87&lt;='Drivers'!$D$12),"Closed: excluded","Open forecast")</x:f>
        <x:v>Open forecast</x:v>
      </x:c>
    </x:row>
    <x:row r="88" ht="22" customHeight="1">
      <x:c r="A88" s="42"/>
      <x:c r="B88" s="42"/>
      <x:c r="C88" s="42" t="str">
        <x:f>IF('Drivers'!$D$5="","",'Drivers'!$D$5)</x:f>
      </x:c>
      <x:c r="D88" s="42" t="str">
        <x:f>IF('Drivers'!$D$4="","",'Drivers'!$D$4)</x:f>
      </x:c>
      <x:c r="E88" s="69" t="n">
        <x:f>'STR Build'!I$6</x:f>
        <x:v>46478</x:v>
      </x:c>
      <x:c r="F88" s="42" t="str">
        <x:f>IF('Drivers'!$D$10="","",'Drivers'!$D$10)</x:f>
        <x:v>Working Draft</x:v>
      </x:c>
      <x:c r="G88" s="42" t="str">
        <x:f>IF('GL Mapping'!I22="",'GL Mapping'!C22,'GL Mapping'!I22)</x:f>
        <x:v>680100</x:v>
      </x:c>
      <x:c r="H88" s="42" t="str">
        <x:v>Property taxes</x:v>
      </x:c>
      <x:c r="I88" s="42" t="str">
        <x:f>IF('Drivers'!$D$11="","",'Drivers'!$D$11)</x:f>
        <x:v>Short-Term Rentals</x:v>
      </x:c>
      <x:c r="J88" s="42" t="str">
        <x:f>IF('Drivers'!$D$8="","",'Drivers'!$D$8)</x:f>
        <x:v>USD</x:v>
      </x:c>
      <x:c r="K88" s="42" t="str">
        <x:f>IF('Drivers'!$D$21="","",'Drivers'!$D$21)</x:f>
        <x:v>Calendar</x:v>
      </x:c>
      <x:c r="L88" s="42" t="str">
        <x:f>IF('Drivers'!$D$9="","",'Drivers'!$D$9)</x:f>
        <x:v>Accrual</x:v>
      </x:c>
      <x:c r="M88" s="70" t="str">
        <x:f>IF('Drivers'!$D$12="","",'Drivers'!$D$12)</x:f>
      </x:c>
      <x:c r="N88" s="42" t="str">
        <x:f>IF('Drivers'!$D$15="","",'Drivers'!$D$15)</x:f>
      </x:c>
      <x:c r="O88" s="42" t="str">
        <x:v>expense</x:v>
      </x:c>
      <x:c r="P88" s="42" t="str">
        <x:v>above_noi</x:v>
      </x:c>
      <x:c r="Q88" s="42" t="n">
        <x:v>1</x:v>
      </x:c>
      <x:c r="R88" s="51" t="str">
        <x:f>IF(V88="Closed: excluded","",IF(ISNUMBER('STR Build'!I46),'STR Build'!I46,""))</x:f>
      </x:c>
      <x:c r="S88" s="42" t="str">
        <x:v>STR Build!I46</x:v>
      </x:c>
      <x:c r="T88" s="42" t="str">
        <x:v>Formula</x:v>
      </x:c>
      <x:c r="U88" s="67" t="str">
        <x:f>IF(ISNUMBER(R88),IF(R88=0,"Populated zero","Populated"),"Missing")</x:f>
        <x:v>Missing</x:v>
      </x:c>
      <x:c r="V88" s="67" t="str">
        <x:f>IF(AND(ISNUMBER('Drivers'!$D$12),E88&lt;='Drivers'!$D$12),"Closed: excluded","Open forecast")</x:f>
        <x:v>Open forecast</x:v>
      </x:c>
    </x:row>
    <x:row r="89" ht="22" customHeight="1">
      <x:c r="A89" s="42"/>
      <x:c r="B89" s="42"/>
      <x:c r="C89" s="42" t="str">
        <x:f>IF('Drivers'!$D$5="","",'Drivers'!$D$5)</x:f>
      </x:c>
      <x:c r="D89" s="42" t="str">
        <x:f>IF('Drivers'!$D$4="","",'Drivers'!$D$4)</x:f>
      </x:c>
      <x:c r="E89" s="69" t="n">
        <x:f>'STR Build'!I$6</x:f>
        <x:v>46478</x:v>
      </x:c>
      <x:c r="F89" s="42" t="str">
        <x:f>IF('Drivers'!$D$10="","",'Drivers'!$D$10)</x:f>
        <x:v>Working Draft</x:v>
      </x:c>
      <x:c r="G89" s="42" t="str">
        <x:f>IF('GL Mapping'!I23="",'GL Mapping'!C23,'GL Mapping'!I23)</x:f>
        <x:v>690100</x:v>
      </x:c>
      <x:c r="H89" s="42" t="str">
        <x:v>Other operating expenses</x:v>
      </x:c>
      <x:c r="I89" s="42" t="str">
        <x:f>IF('Drivers'!$D$11="","",'Drivers'!$D$11)</x:f>
        <x:v>Short-Term Rentals</x:v>
      </x:c>
      <x:c r="J89" s="42" t="str">
        <x:f>IF('Drivers'!$D$8="","",'Drivers'!$D$8)</x:f>
        <x:v>USD</x:v>
      </x:c>
      <x:c r="K89" s="42" t="str">
        <x:f>IF('Drivers'!$D$21="","",'Drivers'!$D$21)</x:f>
        <x:v>Calendar</x:v>
      </x:c>
      <x:c r="L89" s="42" t="str">
        <x:f>IF('Drivers'!$D$9="","",'Drivers'!$D$9)</x:f>
        <x:v>Accrual</x:v>
      </x:c>
      <x:c r="M89" s="70" t="str">
        <x:f>IF('Drivers'!$D$12="","",'Drivers'!$D$12)</x:f>
      </x:c>
      <x:c r="N89" s="42" t="str">
        <x:f>IF('Drivers'!$D$15="","",'Drivers'!$D$15)</x:f>
      </x:c>
      <x:c r="O89" s="42" t="str">
        <x:v>expense</x:v>
      </x:c>
      <x:c r="P89" s="42" t="str">
        <x:v>above_noi</x:v>
      </x:c>
      <x:c r="Q89" s="42" t="n">
        <x:v>1</x:v>
      </x:c>
      <x:c r="R89" s="51" t="str">
        <x:f>IF(V89="Closed: excluded","",IF(ISNUMBER('STR Build'!I47),'STR Build'!I47,""))</x:f>
      </x:c>
      <x:c r="S89" s="42" t="str">
        <x:v>STR Build!I47</x:v>
      </x:c>
      <x:c r="T89" s="42" t="str">
        <x:v>Formula</x:v>
      </x:c>
      <x:c r="U89" s="67" t="str">
        <x:f>IF(ISNUMBER(R89),IF(R89=0,"Populated zero","Populated"),"Missing")</x:f>
        <x:v>Missing</x:v>
      </x:c>
      <x:c r="V89" s="67" t="str">
        <x:f>IF(AND(ISNUMBER('Drivers'!$D$12),E89&lt;='Drivers'!$D$12),"Closed: excluded","Open forecast")</x:f>
        <x:v>Open forecast</x:v>
      </x:c>
    </x:row>
    <x:row r="90" ht="22" customHeight="1">
      <x:c r="A90" s="42"/>
      <x:c r="B90" s="42"/>
      <x:c r="C90" s="42" t="str">
        <x:f>IF('Drivers'!$D$5="","",'Drivers'!$D$5)</x:f>
      </x:c>
      <x:c r="D90" s="42" t="str">
        <x:f>IF('Drivers'!$D$4="","",'Drivers'!$D$4)</x:f>
      </x:c>
      <x:c r="E90" s="69" t="n">
        <x:f>'STR Build'!I$6</x:f>
        <x:v>46478</x:v>
      </x:c>
      <x:c r="F90" s="42" t="str">
        <x:f>IF('Drivers'!$D$10="","",'Drivers'!$D$10)</x:f>
        <x:v>Working Draft</x:v>
      </x:c>
      <x:c r="G90" s="42" t="str">
        <x:f>IF('GL Mapping'!I24="",'GL Mapping'!C24,'GL Mapping'!I24)</x:f>
        <x:v>710100</x:v>
      </x:c>
      <x:c r="H90" s="42" t="str">
        <x:v>Other below-NOI cash costs</x:v>
      </x:c>
      <x:c r="I90" s="42" t="str">
        <x:f>IF('Drivers'!$D$11="","",'Drivers'!$D$11)</x:f>
        <x:v>Short-Term Rentals</x:v>
      </x:c>
      <x:c r="J90" s="42" t="str">
        <x:f>IF('Drivers'!$D$8="","",'Drivers'!$D$8)</x:f>
        <x:v>USD</x:v>
      </x:c>
      <x:c r="K90" s="42" t="str">
        <x:f>IF('Drivers'!$D$21="","",'Drivers'!$D$21)</x:f>
        <x:v>Calendar</x:v>
      </x:c>
      <x:c r="L90" s="42" t="str">
        <x:f>IF('Drivers'!$D$9="","",'Drivers'!$D$9)</x:f>
        <x:v>Accrual</x:v>
      </x:c>
      <x:c r="M90" s="70" t="str">
        <x:f>IF('Drivers'!$D$12="","",'Drivers'!$D$12)</x:f>
      </x:c>
      <x:c r="N90" s="42" t="str">
        <x:f>IF('Drivers'!$D$15="","",'Drivers'!$D$15)</x:f>
      </x:c>
      <x:c r="O90" s="42" t="str">
        <x:v>below_noi</x:v>
      </x:c>
      <x:c r="P90" s="42" t="str">
        <x:v>below_noi</x:v>
      </x:c>
      <x:c r="Q90" s="42" t="n">
        <x:v>1</x:v>
      </x:c>
      <x:c r="R90" s="51" t="str">
        <x:f>IF(V90="Closed: excluded","",IF(ISNUMBER('STR Build'!I55),'STR Build'!I55,""))</x:f>
      </x:c>
      <x:c r="S90" s="42" t="str">
        <x:v>STR Build!I55</x:v>
      </x:c>
      <x:c r="T90" s="42" t="str">
        <x:v>Formula</x:v>
      </x:c>
      <x:c r="U90" s="67" t="str">
        <x:f>IF(ISNUMBER(R90),IF(R90=0,"Populated zero","Populated"),"Missing")</x:f>
        <x:v>Missing</x:v>
      </x:c>
      <x:c r="V90" s="67" t="str">
        <x:f>IF(AND(ISNUMBER('Drivers'!$D$12),E90&lt;='Drivers'!$D$12),"Closed: excluded","Open forecast")</x:f>
        <x:v>Open forecast</x:v>
      </x:c>
    </x:row>
    <x:row r="91" ht="22" customHeight="1">
      <x:c r="A91" s="42"/>
      <x:c r="B91" s="42"/>
      <x:c r="C91" s="42" t="str">
        <x:f>IF('Drivers'!$D$5="","",'Drivers'!$D$5)</x:f>
      </x:c>
      <x:c r="D91" s="42" t="str">
        <x:f>IF('Drivers'!$D$4="","",'Drivers'!$D$4)</x:f>
      </x:c>
      <x:c r="E91" s="69" t="n">
        <x:f>'STR Build'!I$6</x:f>
        <x:v>46478</x:v>
      </x:c>
      <x:c r="F91" s="42" t="str">
        <x:f>IF('Drivers'!$D$10="","",'Drivers'!$D$10)</x:f>
        <x:v>Working Draft</x:v>
      </x:c>
      <x:c r="G91" s="42" t="str">
        <x:f>IF('GL Mapping'!I25="",'GL Mapping'!C25,'GL Mapping'!I25)</x:f>
        <x:v>720100</x:v>
      </x:c>
      <x:c r="H91" s="42" t="str">
        <x:v>Debt interest</x:v>
      </x:c>
      <x:c r="I91" s="42" t="str">
        <x:f>IF('Drivers'!$D$11="","",'Drivers'!$D$11)</x:f>
        <x:v>Short-Term Rentals</x:v>
      </x:c>
      <x:c r="J91" s="42" t="str">
        <x:f>IF('Drivers'!$D$8="","",'Drivers'!$D$8)</x:f>
        <x:v>USD</x:v>
      </x:c>
      <x:c r="K91" s="42" t="str">
        <x:f>IF('Drivers'!$D$21="","",'Drivers'!$D$21)</x:f>
        <x:v>Calendar</x:v>
      </x:c>
      <x:c r="L91" s="42" t="str">
        <x:f>IF('Drivers'!$D$9="","",'Drivers'!$D$9)</x:f>
        <x:v>Accrual</x:v>
      </x:c>
      <x:c r="M91" s="70" t="str">
        <x:f>IF('Drivers'!$D$12="","",'Drivers'!$D$12)</x:f>
      </x:c>
      <x:c r="N91" s="42" t="str">
        <x:f>IF('Drivers'!$D$15="","",'Drivers'!$D$15)</x:f>
      </x:c>
      <x:c r="O91" s="42" t="str">
        <x:v>debt</x:v>
      </x:c>
      <x:c r="P91" s="42" t="str">
        <x:v>below_noi</x:v>
      </x:c>
      <x:c r="Q91" s="42" t="n">
        <x:v>1</x:v>
      </x:c>
      <x:c r="R91" s="51" t="str">
        <x:f>IF(V91="Closed: excluded","",IF(ISNUMBER('STR Build'!I56),'STR Build'!I56,""))</x:f>
      </x:c>
      <x:c r="S91" s="42" t="str">
        <x:v>STR Build!I56</x:v>
      </x:c>
      <x:c r="T91" s="42" t="str">
        <x:v>Formula</x:v>
      </x:c>
      <x:c r="U91" s="67" t="str">
        <x:f>IF(ISNUMBER(R91),IF(R91=0,"Populated zero","Populated"),"Missing")</x:f>
        <x:v>Missing</x:v>
      </x:c>
      <x:c r="V91" s="67" t="str">
        <x:f>IF(AND(ISNUMBER('Drivers'!$D$12),E91&lt;='Drivers'!$D$12),"Closed: excluded","Open forecast")</x:f>
        <x:v>Open forecast</x:v>
      </x:c>
    </x:row>
    <x:row r="92" ht="22" customHeight="1">
      <x:c r="A92" s="42"/>
      <x:c r="B92" s="42"/>
      <x:c r="C92" s="42" t="str">
        <x:f>IF('Drivers'!$D$5="","",'Drivers'!$D$5)</x:f>
      </x:c>
      <x:c r="D92" s="42" t="str">
        <x:f>IF('Drivers'!$D$4="","",'Drivers'!$D$4)</x:f>
      </x:c>
      <x:c r="E92" s="69" t="n">
        <x:f>'STR Build'!I$6</x:f>
        <x:v>46478</x:v>
      </x:c>
      <x:c r="F92" s="42" t="str">
        <x:f>IF('Drivers'!$D$10="","",'Drivers'!$D$10)</x:f>
        <x:v>Working Draft</x:v>
      </x:c>
      <x:c r="G92" s="42" t="str">
        <x:f>IF('GL Mapping'!I26="",'GL Mapping'!C26,'GL Mapping'!I26)</x:f>
        <x:v>720200</x:v>
      </x:c>
      <x:c r="H92" s="42" t="str">
        <x:v>Debt principal</x:v>
      </x:c>
      <x:c r="I92" s="42" t="str">
        <x:f>IF('Drivers'!$D$11="","",'Drivers'!$D$11)</x:f>
        <x:v>Short-Term Rentals</x:v>
      </x:c>
      <x:c r="J92" s="42" t="str">
        <x:f>IF('Drivers'!$D$8="","",'Drivers'!$D$8)</x:f>
        <x:v>USD</x:v>
      </x:c>
      <x:c r="K92" s="42" t="str">
        <x:f>IF('Drivers'!$D$21="","",'Drivers'!$D$21)</x:f>
        <x:v>Calendar</x:v>
      </x:c>
      <x:c r="L92" s="42" t="str">
        <x:f>IF('Drivers'!$D$9="","",'Drivers'!$D$9)</x:f>
        <x:v>Accrual</x:v>
      </x:c>
      <x:c r="M92" s="70" t="str">
        <x:f>IF('Drivers'!$D$12="","",'Drivers'!$D$12)</x:f>
      </x:c>
      <x:c r="N92" s="42" t="str">
        <x:f>IF('Drivers'!$D$15="","",'Drivers'!$D$15)</x:f>
      </x:c>
      <x:c r="O92" s="42" t="str">
        <x:v>debt</x:v>
      </x:c>
      <x:c r="P92" s="42" t="str">
        <x:v>below_noi</x:v>
      </x:c>
      <x:c r="Q92" s="42" t="n">
        <x:v>1</x:v>
      </x:c>
      <x:c r="R92" s="51" t="str">
        <x:f>IF(V92="Closed: excluded","",IF(ISNUMBER('STR Build'!I57),'STR Build'!I57,""))</x:f>
      </x:c>
      <x:c r="S92" s="42" t="str">
        <x:v>STR Build!I57</x:v>
      </x:c>
      <x:c r="T92" s="42" t="str">
        <x:v>Formula</x:v>
      </x:c>
      <x:c r="U92" s="67" t="str">
        <x:f>IF(ISNUMBER(R92),IF(R92=0,"Populated zero","Populated"),"Missing")</x:f>
        <x:v>Missing</x:v>
      </x:c>
      <x:c r="V92" s="67" t="str">
        <x:f>IF(AND(ISNUMBER('Drivers'!$D$12),E92&lt;='Drivers'!$D$12),"Closed: excluded","Open forecast")</x:f>
        <x:v>Open forecast</x:v>
      </x:c>
    </x:row>
    <x:row r="93" ht="22" customHeight="1">
      <x:c r="A93" s="42"/>
      <x:c r="B93" s="42"/>
      <x:c r="C93" s="42" t="str">
        <x:f>IF('Drivers'!$D$5="","",'Drivers'!$D$5)</x:f>
      </x:c>
      <x:c r="D93" s="42" t="str">
        <x:f>IF('Drivers'!$D$4="","",'Drivers'!$D$4)</x:f>
      </x:c>
      <x:c r="E93" s="69" t="n">
        <x:f>'STR Build'!I$6</x:f>
        <x:v>46478</x:v>
      </x:c>
      <x:c r="F93" s="42" t="str">
        <x:f>IF('Drivers'!$D$10="","",'Drivers'!$D$10)</x:f>
        <x:v>Working Draft</x:v>
      </x:c>
      <x:c r="G93" s="42" t="str">
        <x:f>IF('GL Mapping'!I27="",'GL Mapping'!C27,'GL Mapping'!I27)</x:f>
        <x:v>730100</x:v>
      </x:c>
      <x:c r="H93" s="42" t="str">
        <x:v>Capital expenditure</x:v>
      </x:c>
      <x:c r="I93" s="42" t="str">
        <x:f>IF('Drivers'!$D$11="","",'Drivers'!$D$11)</x:f>
        <x:v>Short-Term Rentals</x:v>
      </x:c>
      <x:c r="J93" s="42" t="str">
        <x:f>IF('Drivers'!$D$8="","",'Drivers'!$D$8)</x:f>
        <x:v>USD</x:v>
      </x:c>
      <x:c r="K93" s="42" t="str">
        <x:f>IF('Drivers'!$D$21="","",'Drivers'!$D$21)</x:f>
        <x:v>Calendar</x:v>
      </x:c>
      <x:c r="L93" s="42" t="str">
        <x:f>IF('Drivers'!$D$9="","",'Drivers'!$D$9)</x:f>
        <x:v>Accrual</x:v>
      </x:c>
      <x:c r="M93" s="70" t="str">
        <x:f>IF('Drivers'!$D$12="","",'Drivers'!$D$12)</x:f>
      </x:c>
      <x:c r="N93" s="42" t="str">
        <x:f>IF('Drivers'!$D$15="","",'Drivers'!$D$15)</x:f>
      </x:c>
      <x:c r="O93" s="42" t="str">
        <x:v>capital</x:v>
      </x:c>
      <x:c r="P93" s="42" t="str">
        <x:v>below_noi</x:v>
      </x:c>
      <x:c r="Q93" s="42" t="n">
        <x:v>1</x:v>
      </x:c>
      <x:c r="R93" s="51" t="str">
        <x:f>IF(V93="Closed: excluded","",IF(ISNUMBER('STR Build'!I58),'STR Build'!I58,""))</x:f>
      </x:c>
      <x:c r="S93" s="42" t="str">
        <x:v>STR Build!I58</x:v>
      </x:c>
      <x:c r="T93" s="42" t="str">
        <x:v>Formula</x:v>
      </x:c>
      <x:c r="U93" s="67" t="str">
        <x:f>IF(ISNUMBER(R93),IF(R93=0,"Populated zero","Populated"),"Missing")</x:f>
        <x:v>Missing</x:v>
      </x:c>
      <x:c r="V93" s="67" t="str">
        <x:f>IF(AND(ISNUMBER('Drivers'!$D$12),E93&lt;='Drivers'!$D$12),"Closed: excluded","Open forecast")</x:f>
        <x:v>Open forecast</x:v>
      </x:c>
    </x:row>
    <x:row r="94" ht="22" customHeight="1">
      <x:c r="A94" s="42"/>
      <x:c r="B94" s="42"/>
      <x:c r="C94" s="42" t="str">
        <x:f>IF('Drivers'!$D$5="","",'Drivers'!$D$5)</x:f>
      </x:c>
      <x:c r="D94" s="42" t="str">
        <x:f>IF('Drivers'!$D$4="","",'Drivers'!$D$4)</x:f>
      </x:c>
      <x:c r="E94" s="69" t="n">
        <x:f>'STR Build'!I$6</x:f>
        <x:v>46478</x:v>
      </x:c>
      <x:c r="F94" s="42" t="str">
        <x:f>IF('Drivers'!$D$10="","",'Drivers'!$D$10)</x:f>
        <x:v>Working Draft</x:v>
      </x:c>
      <x:c r="G94" s="42" t="str">
        <x:f>IF('GL Mapping'!I28="",'GL Mapping'!C28,'GL Mapping'!I28)</x:f>
        <x:v>740100</x:v>
      </x:c>
      <x:c r="H94" s="42" t="str">
        <x:v>Working-capital cash use</x:v>
      </x:c>
      <x:c r="I94" s="42" t="str">
        <x:f>IF('Drivers'!$D$11="","",'Drivers'!$D$11)</x:f>
        <x:v>Short-Term Rentals</x:v>
      </x:c>
      <x:c r="J94" s="42" t="str">
        <x:f>IF('Drivers'!$D$8="","",'Drivers'!$D$8)</x:f>
        <x:v>USD</x:v>
      </x:c>
      <x:c r="K94" s="42" t="str">
        <x:f>IF('Drivers'!$D$21="","",'Drivers'!$D$21)</x:f>
        <x:v>Calendar</x:v>
      </x:c>
      <x:c r="L94" s="42" t="str">
        <x:f>IF('Drivers'!$D$9="","",'Drivers'!$D$9)</x:f>
        <x:v>Accrual</x:v>
      </x:c>
      <x:c r="M94" s="70" t="str">
        <x:f>IF('Drivers'!$D$12="","",'Drivers'!$D$12)</x:f>
      </x:c>
      <x:c r="N94" s="42" t="str">
        <x:f>IF('Drivers'!$D$15="","",'Drivers'!$D$15)</x:f>
      </x:c>
      <x:c r="O94" s="42" t="str">
        <x:v>below_noi</x:v>
      </x:c>
      <x:c r="P94" s="42" t="str">
        <x:v>below_noi</x:v>
      </x:c>
      <x:c r="Q94" s="42" t="n">
        <x:v>1</x:v>
      </x:c>
      <x:c r="R94" s="51" t="str">
        <x:f>IF(V94="Closed: excluded","",IF(ISNUMBER('STR Build'!I59),'STR Build'!I59,""))</x:f>
      </x:c>
      <x:c r="S94" s="42" t="str">
        <x:v>STR Build!I59</x:v>
      </x:c>
      <x:c r="T94" s="42" t="str">
        <x:v>Formula</x:v>
      </x:c>
      <x:c r="U94" s="67" t="str">
        <x:f>IF(ISNUMBER(R94),IF(R94=0,"Populated zero","Populated"),"Missing")</x:f>
        <x:v>Missing</x:v>
      </x:c>
      <x:c r="V94" s="67" t="str">
        <x:f>IF(AND(ISNUMBER('Drivers'!$D$12),E94&lt;='Drivers'!$D$12),"Closed: excluded","Open forecast")</x:f>
        <x:v>Open forecast</x:v>
      </x:c>
    </x:row>
    <x:row r="95" ht="22" customHeight="1">
      <x:c r="A95" s="42"/>
      <x:c r="B95" s="42"/>
      <x:c r="C95" s="42" t="str">
        <x:f>IF('Drivers'!$D$5="","",'Drivers'!$D$5)</x:f>
      </x:c>
      <x:c r="D95" s="42" t="str">
        <x:f>IF('Drivers'!$D$4="","",'Drivers'!$D$4)</x:f>
      </x:c>
      <x:c r="E95" s="69" t="n">
        <x:f>'STR Build'!J$6</x:f>
        <x:v>46508</x:v>
      </x:c>
      <x:c r="F95" s="42" t="str">
        <x:f>IF('Drivers'!$D$10="","",'Drivers'!$D$10)</x:f>
        <x:v>Working Draft</x:v>
      </x:c>
      <x:c r="G95" s="42" t="str">
        <x:f>IF('GL Mapping'!I7="",'GL Mapping'!C7,'GL Mapping'!I7)</x:f>
        <x:v>410100</x:v>
      </x:c>
      <x:c r="H95" s="42" t="str">
        <x:v>Lodging revenue</x:v>
      </x:c>
      <x:c r="I95" s="42" t="str">
        <x:f>IF('Drivers'!$D$11="","",'Drivers'!$D$11)</x:f>
        <x:v>Short-Term Rentals</x:v>
      </x:c>
      <x:c r="J95" s="42" t="str">
        <x:f>IF('Drivers'!$D$8="","",'Drivers'!$D$8)</x:f>
        <x:v>USD</x:v>
      </x:c>
      <x:c r="K95" s="42" t="str">
        <x:f>IF('Drivers'!$D$21="","",'Drivers'!$D$21)</x:f>
        <x:v>Calendar</x:v>
      </x:c>
      <x:c r="L95" s="42" t="str">
        <x:f>IF('Drivers'!$D$9="","",'Drivers'!$D$9)</x:f>
        <x:v>Accrual</x:v>
      </x:c>
      <x:c r="M95" s="70" t="str">
        <x:f>IF('Drivers'!$D$12="","",'Drivers'!$D$12)</x:f>
      </x:c>
      <x:c r="N95" s="42" t="str">
        <x:f>IF('Drivers'!$D$15="","",'Drivers'!$D$15)</x:f>
      </x:c>
      <x:c r="O95" s="42" t="str">
        <x:v>income</x:v>
      </x:c>
      <x:c r="P95" s="42" t="str">
        <x:v>above_noi</x:v>
      </x:c>
      <x:c r="Q95" s="42" t="n">
        <x:v>1</x:v>
      </x:c>
      <x:c r="R95" s="51" t="str">
        <x:f>IF(V95="Closed: excluded","",IF(ISNUMBER('STR Build'!J28),'STR Build'!J28,""))</x:f>
      </x:c>
      <x:c r="S95" s="42" t="str">
        <x:v>STR Build!J28</x:v>
      </x:c>
      <x:c r="T95" s="42" t="str">
        <x:v>Formula</x:v>
      </x:c>
      <x:c r="U95" s="67" t="str">
        <x:f>IF(ISNUMBER(R95),IF(R95=0,"Populated zero","Populated"),"Missing")</x:f>
        <x:v>Missing</x:v>
      </x:c>
      <x:c r="V95" s="67" t="str">
        <x:f>IF(AND(ISNUMBER('Drivers'!$D$12),E95&lt;='Drivers'!$D$12),"Closed: excluded","Open forecast")</x:f>
        <x:v>Open forecast</x:v>
      </x:c>
    </x:row>
    <x:row r="96" ht="22" customHeight="1">
      <x:c r="A96" s="42"/>
      <x:c r="B96" s="42"/>
      <x:c r="C96" s="42" t="str">
        <x:f>IF('Drivers'!$D$5="","",'Drivers'!$D$5)</x:f>
      </x:c>
      <x:c r="D96" s="42" t="str">
        <x:f>IF('Drivers'!$D$4="","",'Drivers'!$D$4)</x:f>
      </x:c>
      <x:c r="E96" s="69" t="n">
        <x:f>'STR Build'!J$6</x:f>
        <x:v>46508</x:v>
      </x:c>
      <x:c r="F96" s="42" t="str">
        <x:f>IF('Drivers'!$D$10="","",'Drivers'!$D$10)</x:f>
        <x:v>Working Draft</x:v>
      </x:c>
      <x:c r="G96" s="42" t="str">
        <x:f>IF('GL Mapping'!I8="",'GL Mapping'!C8,'GL Mapping'!I8)</x:f>
        <x:v>410200</x:v>
      </x:c>
      <x:c r="H96" s="42" t="str">
        <x:v>Cleaning fee income</x:v>
      </x:c>
      <x:c r="I96" s="42" t="str">
        <x:f>IF('Drivers'!$D$11="","",'Drivers'!$D$11)</x:f>
        <x:v>Short-Term Rentals</x:v>
      </x:c>
      <x:c r="J96" s="42" t="str">
        <x:f>IF('Drivers'!$D$8="","",'Drivers'!$D$8)</x:f>
        <x:v>USD</x:v>
      </x:c>
      <x:c r="K96" s="42" t="str">
        <x:f>IF('Drivers'!$D$21="","",'Drivers'!$D$21)</x:f>
        <x:v>Calendar</x:v>
      </x:c>
      <x:c r="L96" s="42" t="str">
        <x:f>IF('Drivers'!$D$9="","",'Drivers'!$D$9)</x:f>
        <x:v>Accrual</x:v>
      </x:c>
      <x:c r="M96" s="70" t="str">
        <x:f>IF('Drivers'!$D$12="","",'Drivers'!$D$12)</x:f>
      </x:c>
      <x:c r="N96" s="42" t="str">
        <x:f>IF('Drivers'!$D$15="","",'Drivers'!$D$15)</x:f>
      </x:c>
      <x:c r="O96" s="42" t="str">
        <x:v>income</x:v>
      </x:c>
      <x:c r="P96" s="42" t="str">
        <x:v>above_noi</x:v>
      </x:c>
      <x:c r="Q96" s="42" t="n">
        <x:v>1</x:v>
      </x:c>
      <x:c r="R96" s="51" t="str">
        <x:f>IF(V96="Closed: excluded","",IF(ISNUMBER('STR Build'!J29),'STR Build'!J29,""))</x:f>
      </x:c>
      <x:c r="S96" s="42" t="str">
        <x:v>STR Build!J29</x:v>
      </x:c>
      <x:c r="T96" s="42" t="str">
        <x:v>Formula</x:v>
      </x:c>
      <x:c r="U96" s="67" t="str">
        <x:f>IF(ISNUMBER(R96),IF(R96=0,"Populated zero","Populated"),"Missing")</x:f>
        <x:v>Missing</x:v>
      </x:c>
      <x:c r="V96" s="67" t="str">
        <x:f>IF(AND(ISNUMBER('Drivers'!$D$12),E96&lt;='Drivers'!$D$12),"Closed: excluded","Open forecast")</x:f>
        <x:v>Open forecast</x:v>
      </x:c>
    </x:row>
    <x:row r="97" ht="22" customHeight="1">
      <x:c r="A97" s="42"/>
      <x:c r="B97" s="42"/>
      <x:c r="C97" s="42" t="str">
        <x:f>IF('Drivers'!$D$5="","",'Drivers'!$D$5)</x:f>
      </x:c>
      <x:c r="D97" s="42" t="str">
        <x:f>IF('Drivers'!$D$4="","",'Drivers'!$D$4)</x:f>
      </x:c>
      <x:c r="E97" s="69" t="n">
        <x:f>'STR Build'!J$6</x:f>
        <x:v>46508</x:v>
      </x:c>
      <x:c r="F97" s="42" t="str">
        <x:f>IF('Drivers'!$D$10="","",'Drivers'!$D$10)</x:f>
        <x:v>Working Draft</x:v>
      </x:c>
      <x:c r="G97" s="42" t="str">
        <x:f>IF('GL Mapping'!I9="",'GL Mapping'!C9,'GL Mapping'!I9)</x:f>
        <x:v>410300</x:v>
      </x:c>
      <x:c r="H97" s="42" t="str">
        <x:v>Other guest fee income</x:v>
      </x:c>
      <x:c r="I97" s="42" t="str">
        <x:f>IF('Drivers'!$D$11="","",'Drivers'!$D$11)</x:f>
        <x:v>Short-Term Rentals</x:v>
      </x:c>
      <x:c r="J97" s="42" t="str">
        <x:f>IF('Drivers'!$D$8="","",'Drivers'!$D$8)</x:f>
        <x:v>USD</x:v>
      </x:c>
      <x:c r="K97" s="42" t="str">
        <x:f>IF('Drivers'!$D$21="","",'Drivers'!$D$21)</x:f>
        <x:v>Calendar</x:v>
      </x:c>
      <x:c r="L97" s="42" t="str">
        <x:f>IF('Drivers'!$D$9="","",'Drivers'!$D$9)</x:f>
        <x:v>Accrual</x:v>
      </x:c>
      <x:c r="M97" s="70" t="str">
        <x:f>IF('Drivers'!$D$12="","",'Drivers'!$D$12)</x:f>
      </x:c>
      <x:c r="N97" s="42" t="str">
        <x:f>IF('Drivers'!$D$15="","",'Drivers'!$D$15)</x:f>
      </x:c>
      <x:c r="O97" s="42" t="str">
        <x:v>income</x:v>
      </x:c>
      <x:c r="P97" s="42" t="str">
        <x:v>above_noi</x:v>
      </x:c>
      <x:c r="Q97" s="42" t="n">
        <x:v>1</x:v>
      </x:c>
      <x:c r="R97" s="51" t="str">
        <x:f>IF(V97="Closed: excluded","",IF(ISNUMBER('STR Build'!J30),'STR Build'!J30,""))</x:f>
      </x:c>
      <x:c r="S97" s="42" t="str">
        <x:v>STR Build!J30</x:v>
      </x:c>
      <x:c r="T97" s="42" t="str">
        <x:v>Formula</x:v>
      </x:c>
      <x:c r="U97" s="67" t="str">
        <x:f>IF(ISNUMBER(R97),IF(R97=0,"Populated zero","Populated"),"Missing")</x:f>
        <x:v>Missing</x:v>
      </x:c>
      <x:c r="V97" s="67" t="str">
        <x:f>IF(AND(ISNUMBER('Drivers'!$D$12),E97&lt;='Drivers'!$D$12),"Closed: excluded","Open forecast")</x:f>
        <x:v>Open forecast</x:v>
      </x:c>
    </x:row>
    <x:row r="98" ht="22" customHeight="1">
      <x:c r="A98" s="42"/>
      <x:c r="B98" s="42"/>
      <x:c r="C98" s="42" t="str">
        <x:f>IF('Drivers'!$D$5="","",'Drivers'!$D$5)</x:f>
      </x:c>
      <x:c r="D98" s="42" t="str">
        <x:f>IF('Drivers'!$D$4="","",'Drivers'!$D$4)</x:f>
      </x:c>
      <x:c r="E98" s="69" t="n">
        <x:f>'STR Build'!J$6</x:f>
        <x:v>46508</x:v>
      </x:c>
      <x:c r="F98" s="42" t="str">
        <x:f>IF('Drivers'!$D$10="","",'Drivers'!$D$10)</x:f>
        <x:v>Working Draft</x:v>
      </x:c>
      <x:c r="G98" s="42" t="str">
        <x:f>IF('GL Mapping'!I10="",'GL Mapping'!C10,'GL Mapping'!I10)</x:f>
        <x:v>419100</x:v>
      </x:c>
      <x:c r="H98" s="42" t="str">
        <x:v>Refunds and discounts</x:v>
      </x:c>
      <x:c r="I98" s="42" t="str">
        <x:f>IF('Drivers'!$D$11="","",'Drivers'!$D$11)</x:f>
        <x:v>Short-Term Rentals</x:v>
      </x:c>
      <x:c r="J98" s="42" t="str">
        <x:f>IF('Drivers'!$D$8="","",'Drivers'!$D$8)</x:f>
        <x:v>USD</x:v>
      </x:c>
      <x:c r="K98" s="42" t="str">
        <x:f>IF('Drivers'!$D$21="","",'Drivers'!$D$21)</x:f>
        <x:v>Calendar</x:v>
      </x:c>
      <x:c r="L98" s="42" t="str">
        <x:f>IF('Drivers'!$D$9="","",'Drivers'!$D$9)</x:f>
        <x:v>Accrual</x:v>
      </x:c>
      <x:c r="M98" s="70" t="str">
        <x:f>IF('Drivers'!$D$12="","",'Drivers'!$D$12)</x:f>
      </x:c>
      <x:c r="N98" s="42" t="str">
        <x:f>IF('Drivers'!$D$15="","",'Drivers'!$D$15)</x:f>
      </x:c>
      <x:c r="O98" s="42" t="str">
        <x:v>contra_income</x:v>
      </x:c>
      <x:c r="P98" s="42" t="str">
        <x:v>above_noi</x:v>
      </x:c>
      <x:c r="Q98" s="42" t="n">
        <x:v>1</x:v>
      </x:c>
      <x:c r="R98" s="51" t="str">
        <x:f>IF(V98="Closed: excluded","",IF(ISNUMBER('STR Build'!J32),'STR Build'!J32,""))</x:f>
      </x:c>
      <x:c r="S98" s="42" t="str">
        <x:v>STR Build!J32</x:v>
      </x:c>
      <x:c r="T98" s="42" t="str">
        <x:v>Formula</x:v>
      </x:c>
      <x:c r="U98" s="67" t="str">
        <x:f>IF(ISNUMBER(R98),IF(R98=0,"Populated zero","Populated"),"Missing")</x:f>
        <x:v>Missing</x:v>
      </x:c>
      <x:c r="V98" s="67" t="str">
        <x:f>IF(AND(ISNUMBER('Drivers'!$D$12),E98&lt;='Drivers'!$D$12),"Closed: excluded","Open forecast")</x:f>
        <x:v>Open forecast</x:v>
      </x:c>
    </x:row>
    <x:row r="99" ht="22" customHeight="1">
      <x:c r="A99" s="42"/>
      <x:c r="B99" s="42"/>
      <x:c r="C99" s="42" t="str">
        <x:f>IF('Drivers'!$D$5="","",'Drivers'!$D$5)</x:f>
      </x:c>
      <x:c r="D99" s="42" t="str">
        <x:f>IF('Drivers'!$D$4="","",'Drivers'!$D$4)</x:f>
      </x:c>
      <x:c r="E99" s="69" t="n">
        <x:f>'STR Build'!J$6</x:f>
        <x:v>46508</x:v>
      </x:c>
      <x:c r="F99" s="42" t="str">
        <x:f>IF('Drivers'!$D$10="","",'Drivers'!$D$10)</x:f>
        <x:v>Working Draft</x:v>
      </x:c>
      <x:c r="G99" s="42" t="str">
        <x:f>IF('GL Mapping'!I11="",'GL Mapping'!C11,'GL Mapping'!I11)</x:f>
        <x:v>419200</x:v>
      </x:c>
      <x:c r="H99" s="42" t="str">
        <x:v>Bad debt</x:v>
      </x:c>
      <x:c r="I99" s="42" t="str">
        <x:f>IF('Drivers'!$D$11="","",'Drivers'!$D$11)</x:f>
        <x:v>Short-Term Rentals</x:v>
      </x:c>
      <x:c r="J99" s="42" t="str">
        <x:f>IF('Drivers'!$D$8="","",'Drivers'!$D$8)</x:f>
        <x:v>USD</x:v>
      </x:c>
      <x:c r="K99" s="42" t="str">
        <x:f>IF('Drivers'!$D$21="","",'Drivers'!$D$21)</x:f>
        <x:v>Calendar</x:v>
      </x:c>
      <x:c r="L99" s="42" t="str">
        <x:f>IF('Drivers'!$D$9="","",'Drivers'!$D$9)</x:f>
        <x:v>Accrual</x:v>
      </x:c>
      <x:c r="M99" s="70" t="str">
        <x:f>IF('Drivers'!$D$12="","",'Drivers'!$D$12)</x:f>
      </x:c>
      <x:c r="N99" s="42" t="str">
        <x:f>IF('Drivers'!$D$15="","",'Drivers'!$D$15)</x:f>
      </x:c>
      <x:c r="O99" s="42" t="str">
        <x:v>contra_income</x:v>
      </x:c>
      <x:c r="P99" s="42" t="str">
        <x:v>above_noi</x:v>
      </x:c>
      <x:c r="Q99" s="42" t="n">
        <x:v>1</x:v>
      </x:c>
      <x:c r="R99" s="51" t="str">
        <x:f>IF(V99="Closed: excluded","",IF(ISNUMBER('STR Build'!J33),'STR Build'!J33,""))</x:f>
      </x:c>
      <x:c r="S99" s="42" t="str">
        <x:v>STR Build!J33</x:v>
      </x:c>
      <x:c r="T99" s="42" t="str">
        <x:v>Formula</x:v>
      </x:c>
      <x:c r="U99" s="67" t="str">
        <x:f>IF(ISNUMBER(R99),IF(R99=0,"Populated zero","Populated"),"Missing")</x:f>
        <x:v>Missing</x:v>
      </x:c>
      <x:c r="V99" s="67" t="str">
        <x:f>IF(AND(ISNUMBER('Drivers'!$D$12),E99&lt;='Drivers'!$D$12),"Closed: excluded","Open forecast")</x:f>
        <x:v>Open forecast</x:v>
      </x:c>
    </x:row>
    <x:row r="100" ht="22" customHeight="1">
      <x:c r="A100" s="42"/>
      <x:c r="B100" s="42"/>
      <x:c r="C100" s="42" t="str">
        <x:f>IF('Drivers'!$D$5="","",'Drivers'!$D$5)</x:f>
      </x:c>
      <x:c r="D100" s="42" t="str">
        <x:f>IF('Drivers'!$D$4="","",'Drivers'!$D$4)</x:f>
      </x:c>
      <x:c r="E100" s="69" t="n">
        <x:f>'STR Build'!J$6</x:f>
        <x:v>46508</x:v>
      </x:c>
      <x:c r="F100" s="42" t="str">
        <x:f>IF('Drivers'!$D$10="","",'Drivers'!$D$10)</x:f>
        <x:v>Working Draft</x:v>
      </x:c>
      <x:c r="G100" s="42" t="str">
        <x:f>IF('GL Mapping'!I12="",'GL Mapping'!C12,'GL Mapping'!I12)</x:f>
        <x:v>610100</x:v>
      </x:c>
      <x:c r="H100" s="42" t="str">
        <x:v>Channel commissions</x:v>
      </x:c>
      <x:c r="I100" s="42" t="str">
        <x:f>IF('Drivers'!$D$11="","",'Drivers'!$D$11)</x:f>
        <x:v>Short-Term Rentals</x:v>
      </x:c>
      <x:c r="J100" s="42" t="str">
        <x:f>IF('Drivers'!$D$8="","",'Drivers'!$D$8)</x:f>
        <x:v>USD</x:v>
      </x:c>
      <x:c r="K100" s="42" t="str">
        <x:f>IF('Drivers'!$D$21="","",'Drivers'!$D$21)</x:f>
        <x:v>Calendar</x:v>
      </x:c>
      <x:c r="L100" s="42" t="str">
        <x:f>IF('Drivers'!$D$9="","",'Drivers'!$D$9)</x:f>
        <x:v>Accrual</x:v>
      </x:c>
      <x:c r="M100" s="70" t="str">
        <x:f>IF('Drivers'!$D$12="","",'Drivers'!$D$12)</x:f>
      </x:c>
      <x:c r="N100" s="42" t="str">
        <x:f>IF('Drivers'!$D$15="","",'Drivers'!$D$15)</x:f>
      </x:c>
      <x:c r="O100" s="42" t="str">
        <x:v>expense</x:v>
      </x:c>
      <x:c r="P100" s="42" t="str">
        <x:v>above_noi</x:v>
      </x:c>
      <x:c r="Q100" s="42" t="n">
        <x:v>1</x:v>
      </x:c>
      <x:c r="R100" s="51" t="str">
        <x:f>IF(V100="Closed: excluded","",IF(ISNUMBER('STR Build'!J36),'STR Build'!J36,""))</x:f>
      </x:c>
      <x:c r="S100" s="42" t="str">
        <x:v>STR Build!J36</x:v>
      </x:c>
      <x:c r="T100" s="42" t="str">
        <x:v>Formula</x:v>
      </x:c>
      <x:c r="U100" s="67" t="str">
        <x:f>IF(ISNUMBER(R100),IF(R100=0,"Populated zero","Populated"),"Missing")</x:f>
        <x:v>Missing</x:v>
      </x:c>
      <x:c r="V100" s="67" t="str">
        <x:f>IF(AND(ISNUMBER('Drivers'!$D$12),E100&lt;='Drivers'!$D$12),"Closed: excluded","Open forecast")</x:f>
        <x:v>Open forecast</x:v>
      </x:c>
    </x:row>
    <x:row r="101" ht="22" customHeight="1">
      <x:c r="A101" s="42"/>
      <x:c r="B101" s="42"/>
      <x:c r="C101" s="42" t="str">
        <x:f>IF('Drivers'!$D$5="","",'Drivers'!$D$5)</x:f>
      </x:c>
      <x:c r="D101" s="42" t="str">
        <x:f>IF('Drivers'!$D$4="","",'Drivers'!$D$4)</x:f>
      </x:c>
      <x:c r="E101" s="69" t="n">
        <x:f>'STR Build'!J$6</x:f>
        <x:v>46508</x:v>
      </x:c>
      <x:c r="F101" s="42" t="str">
        <x:f>IF('Drivers'!$D$10="","",'Drivers'!$D$10)</x:f>
        <x:v>Working Draft</x:v>
      </x:c>
      <x:c r="G101" s="42" t="str">
        <x:f>IF('GL Mapping'!I13="",'GL Mapping'!C13,'GL Mapping'!I13)</x:f>
        <x:v>610200</x:v>
      </x:c>
      <x:c r="H101" s="42" t="str">
        <x:v>Cleaning expense</x:v>
      </x:c>
      <x:c r="I101" s="42" t="str">
        <x:f>IF('Drivers'!$D$11="","",'Drivers'!$D$11)</x:f>
        <x:v>Short-Term Rentals</x:v>
      </x:c>
      <x:c r="J101" s="42" t="str">
        <x:f>IF('Drivers'!$D$8="","",'Drivers'!$D$8)</x:f>
        <x:v>USD</x:v>
      </x:c>
      <x:c r="K101" s="42" t="str">
        <x:f>IF('Drivers'!$D$21="","",'Drivers'!$D$21)</x:f>
        <x:v>Calendar</x:v>
      </x:c>
      <x:c r="L101" s="42" t="str">
        <x:f>IF('Drivers'!$D$9="","",'Drivers'!$D$9)</x:f>
        <x:v>Accrual</x:v>
      </x:c>
      <x:c r="M101" s="70" t="str">
        <x:f>IF('Drivers'!$D$12="","",'Drivers'!$D$12)</x:f>
      </x:c>
      <x:c r="N101" s="42" t="str">
        <x:f>IF('Drivers'!$D$15="","",'Drivers'!$D$15)</x:f>
      </x:c>
      <x:c r="O101" s="42" t="str">
        <x:v>expense</x:v>
      </x:c>
      <x:c r="P101" s="42" t="str">
        <x:v>above_noi</x:v>
      </x:c>
      <x:c r="Q101" s="42" t="n">
        <x:v>1</x:v>
      </x:c>
      <x:c r="R101" s="51" t="str">
        <x:f>IF(V101="Closed: excluded","",IF(ISNUMBER('STR Build'!J37),'STR Build'!J37,""))</x:f>
      </x:c>
      <x:c r="S101" s="42" t="str">
        <x:v>STR Build!J37</x:v>
      </x:c>
      <x:c r="T101" s="42" t="str">
        <x:v>Formula</x:v>
      </x:c>
      <x:c r="U101" s="67" t="str">
        <x:f>IF(ISNUMBER(R101),IF(R101=0,"Populated zero","Populated"),"Missing")</x:f>
        <x:v>Missing</x:v>
      </x:c>
      <x:c r="V101" s="67" t="str">
        <x:f>IF(AND(ISNUMBER('Drivers'!$D$12),E101&lt;='Drivers'!$D$12),"Closed: excluded","Open forecast")</x:f>
        <x:v>Open forecast</x:v>
      </x:c>
    </x:row>
    <x:row r="102" ht="22" customHeight="1">
      <x:c r="A102" s="42"/>
      <x:c r="B102" s="42"/>
      <x:c r="C102" s="42" t="str">
        <x:f>IF('Drivers'!$D$5="","",'Drivers'!$D$5)</x:f>
      </x:c>
      <x:c r="D102" s="42" t="str">
        <x:f>IF('Drivers'!$D$4="","",'Drivers'!$D$4)</x:f>
      </x:c>
      <x:c r="E102" s="69" t="n">
        <x:f>'STR Build'!J$6</x:f>
        <x:v>46508</x:v>
      </x:c>
      <x:c r="F102" s="42" t="str">
        <x:f>IF('Drivers'!$D$10="","",'Drivers'!$D$10)</x:f>
        <x:v>Working Draft</x:v>
      </x:c>
      <x:c r="G102" s="42" t="str">
        <x:f>IF('GL Mapping'!I14="",'GL Mapping'!C14,'GL Mapping'!I14)</x:f>
        <x:v>610300</x:v>
      </x:c>
      <x:c r="H102" s="42" t="str">
        <x:v>Property-borne lodging tax</x:v>
      </x:c>
      <x:c r="I102" s="42" t="str">
        <x:f>IF('Drivers'!$D$11="","",'Drivers'!$D$11)</x:f>
        <x:v>Short-Term Rentals</x:v>
      </x:c>
      <x:c r="J102" s="42" t="str">
        <x:f>IF('Drivers'!$D$8="","",'Drivers'!$D$8)</x:f>
        <x:v>USD</x:v>
      </x:c>
      <x:c r="K102" s="42" t="str">
        <x:f>IF('Drivers'!$D$21="","",'Drivers'!$D$21)</x:f>
        <x:v>Calendar</x:v>
      </x:c>
      <x:c r="L102" s="42" t="str">
        <x:f>IF('Drivers'!$D$9="","",'Drivers'!$D$9)</x:f>
        <x:v>Accrual</x:v>
      </x:c>
      <x:c r="M102" s="70" t="str">
        <x:f>IF('Drivers'!$D$12="","",'Drivers'!$D$12)</x:f>
      </x:c>
      <x:c r="N102" s="42" t="str">
        <x:f>IF('Drivers'!$D$15="","",'Drivers'!$D$15)</x:f>
      </x:c>
      <x:c r="O102" s="42" t="str">
        <x:v>expense</x:v>
      </x:c>
      <x:c r="P102" s="42" t="str">
        <x:v>above_noi</x:v>
      </x:c>
      <x:c r="Q102" s="42" t="n">
        <x:v>1</x:v>
      </x:c>
      <x:c r="R102" s="51" t="str">
        <x:f>IF(V102="Closed: excluded","",IF(ISNUMBER('STR Build'!J38),'STR Build'!J38,""))</x:f>
      </x:c>
      <x:c r="S102" s="42" t="str">
        <x:v>STR Build!J38</x:v>
      </x:c>
      <x:c r="T102" s="42" t="str">
        <x:v>Formula</x:v>
      </x:c>
      <x:c r="U102" s="67" t="str">
        <x:f>IF(ISNUMBER(R102),IF(R102=0,"Populated zero","Populated"),"Missing")</x:f>
        <x:v>Missing</x:v>
      </x:c>
      <x:c r="V102" s="67" t="str">
        <x:f>IF(AND(ISNUMBER('Drivers'!$D$12),E102&lt;='Drivers'!$D$12),"Closed: excluded","Open forecast")</x:f>
        <x:v>Open forecast</x:v>
      </x:c>
    </x:row>
    <x:row r="103" ht="22" customHeight="1">
      <x:c r="A103" s="42"/>
      <x:c r="B103" s="42"/>
      <x:c r="C103" s="42" t="str">
        <x:f>IF('Drivers'!$D$5="","",'Drivers'!$D$5)</x:f>
      </x:c>
      <x:c r="D103" s="42" t="str">
        <x:f>IF('Drivers'!$D$4="","",'Drivers'!$D$4)</x:f>
      </x:c>
      <x:c r="E103" s="69" t="n">
        <x:f>'STR Build'!J$6</x:f>
        <x:v>46508</x:v>
      </x:c>
      <x:c r="F103" s="42" t="str">
        <x:f>IF('Drivers'!$D$10="","",'Drivers'!$D$10)</x:f>
        <x:v>Working Draft</x:v>
      </x:c>
      <x:c r="G103" s="42" t="str">
        <x:f>IF('GL Mapping'!I15="",'GL Mapping'!C15,'GL Mapping'!I15)</x:f>
        <x:v>610400</x:v>
      </x:c>
      <x:c r="H103" s="42" t="str">
        <x:v>Supplies</x:v>
      </x:c>
      <x:c r="I103" s="42" t="str">
        <x:f>IF('Drivers'!$D$11="","",'Drivers'!$D$11)</x:f>
        <x:v>Short-Term Rentals</x:v>
      </x:c>
      <x:c r="J103" s="42" t="str">
        <x:f>IF('Drivers'!$D$8="","",'Drivers'!$D$8)</x:f>
        <x:v>USD</x:v>
      </x:c>
      <x:c r="K103" s="42" t="str">
        <x:f>IF('Drivers'!$D$21="","",'Drivers'!$D$21)</x:f>
        <x:v>Calendar</x:v>
      </x:c>
      <x:c r="L103" s="42" t="str">
        <x:f>IF('Drivers'!$D$9="","",'Drivers'!$D$9)</x:f>
        <x:v>Accrual</x:v>
      </x:c>
      <x:c r="M103" s="70" t="str">
        <x:f>IF('Drivers'!$D$12="","",'Drivers'!$D$12)</x:f>
      </x:c>
      <x:c r="N103" s="42" t="str">
        <x:f>IF('Drivers'!$D$15="","",'Drivers'!$D$15)</x:f>
      </x:c>
      <x:c r="O103" s="42" t="str">
        <x:v>expense</x:v>
      </x:c>
      <x:c r="P103" s="42" t="str">
        <x:v>above_noi</x:v>
      </x:c>
      <x:c r="Q103" s="42" t="n">
        <x:v>1</x:v>
      </x:c>
      <x:c r="R103" s="51" t="str">
        <x:f>IF(V103="Closed: excluded","",IF(ISNUMBER('STR Build'!J39),'STR Build'!J39,""))</x:f>
      </x:c>
      <x:c r="S103" s="42" t="str">
        <x:v>STR Build!J39</x:v>
      </x:c>
      <x:c r="T103" s="42" t="str">
        <x:v>Formula</x:v>
      </x:c>
      <x:c r="U103" s="67" t="str">
        <x:f>IF(ISNUMBER(R103),IF(R103=0,"Populated zero","Populated"),"Missing")</x:f>
        <x:v>Missing</x:v>
      </x:c>
      <x:c r="V103" s="67" t="str">
        <x:f>IF(AND(ISNUMBER('Drivers'!$D$12),E103&lt;='Drivers'!$D$12),"Closed: excluded","Open forecast")</x:f>
        <x:v>Open forecast</x:v>
      </x:c>
    </x:row>
    <x:row r="104" ht="22" customHeight="1">
      <x:c r="A104" s="42"/>
      <x:c r="B104" s="42"/>
      <x:c r="C104" s="42" t="str">
        <x:f>IF('Drivers'!$D$5="","",'Drivers'!$D$5)</x:f>
      </x:c>
      <x:c r="D104" s="42" t="str">
        <x:f>IF('Drivers'!$D$4="","",'Drivers'!$D$4)</x:f>
      </x:c>
      <x:c r="E104" s="69" t="n">
        <x:f>'STR Build'!J$6</x:f>
        <x:v>46508</x:v>
      </x:c>
      <x:c r="F104" s="42" t="str">
        <x:f>IF('Drivers'!$D$10="","",'Drivers'!$D$10)</x:f>
        <x:v>Working Draft</x:v>
      </x:c>
      <x:c r="G104" s="42" t="str">
        <x:f>IF('GL Mapping'!I16="",'GL Mapping'!C16,'GL Mapping'!I16)</x:f>
        <x:v>620100</x:v>
      </x:c>
      <x:c r="H104" s="42" t="str">
        <x:v>Payroll</x:v>
      </x:c>
      <x:c r="I104" s="42" t="str">
        <x:f>IF('Drivers'!$D$11="","",'Drivers'!$D$11)</x:f>
        <x:v>Short-Term Rentals</x:v>
      </x:c>
      <x:c r="J104" s="42" t="str">
        <x:f>IF('Drivers'!$D$8="","",'Drivers'!$D$8)</x:f>
        <x:v>USD</x:v>
      </x:c>
      <x:c r="K104" s="42" t="str">
        <x:f>IF('Drivers'!$D$21="","",'Drivers'!$D$21)</x:f>
        <x:v>Calendar</x:v>
      </x:c>
      <x:c r="L104" s="42" t="str">
        <x:f>IF('Drivers'!$D$9="","",'Drivers'!$D$9)</x:f>
        <x:v>Accrual</x:v>
      </x:c>
      <x:c r="M104" s="70" t="str">
        <x:f>IF('Drivers'!$D$12="","",'Drivers'!$D$12)</x:f>
      </x:c>
      <x:c r="N104" s="42" t="str">
        <x:f>IF('Drivers'!$D$15="","",'Drivers'!$D$15)</x:f>
      </x:c>
      <x:c r="O104" s="42" t="str">
        <x:v>expense</x:v>
      </x:c>
      <x:c r="P104" s="42" t="str">
        <x:v>above_noi</x:v>
      </x:c>
      <x:c r="Q104" s="42" t="n">
        <x:v>1</x:v>
      </x:c>
      <x:c r="R104" s="51" t="str">
        <x:f>IF(V104="Closed: excluded","",IF(ISNUMBER('STR Build'!J40),'STR Build'!J40,""))</x:f>
      </x:c>
      <x:c r="S104" s="42" t="str">
        <x:v>STR Build!J40</x:v>
      </x:c>
      <x:c r="T104" s="42" t="str">
        <x:v>Formula</x:v>
      </x:c>
      <x:c r="U104" s="67" t="str">
        <x:f>IF(ISNUMBER(R104),IF(R104=0,"Populated zero","Populated"),"Missing")</x:f>
        <x:v>Missing</x:v>
      </x:c>
      <x:c r="V104" s="67" t="str">
        <x:f>IF(AND(ISNUMBER('Drivers'!$D$12),E104&lt;='Drivers'!$D$12),"Closed: excluded","Open forecast")</x:f>
        <x:v>Open forecast</x:v>
      </x:c>
    </x:row>
    <x:row r="105" ht="22" customHeight="1">
      <x:c r="A105" s="42"/>
      <x:c r="B105" s="42"/>
      <x:c r="C105" s="42" t="str">
        <x:f>IF('Drivers'!$D$5="","",'Drivers'!$D$5)</x:f>
      </x:c>
      <x:c r="D105" s="42" t="str">
        <x:f>IF('Drivers'!$D$4="","",'Drivers'!$D$4)</x:f>
      </x:c>
      <x:c r="E105" s="69" t="n">
        <x:f>'STR Build'!J$6</x:f>
        <x:v>46508</x:v>
      </x:c>
      <x:c r="F105" s="42" t="str">
        <x:f>IF('Drivers'!$D$10="","",'Drivers'!$D$10)</x:f>
        <x:v>Working Draft</x:v>
      </x:c>
      <x:c r="G105" s="42" t="str">
        <x:f>IF('GL Mapping'!I17="",'GL Mapping'!C17,'GL Mapping'!I17)</x:f>
        <x:v>630100</x:v>
      </x:c>
      <x:c r="H105" s="42" t="str">
        <x:v>Utilities</x:v>
      </x:c>
      <x:c r="I105" s="42" t="str">
        <x:f>IF('Drivers'!$D$11="","",'Drivers'!$D$11)</x:f>
        <x:v>Short-Term Rentals</x:v>
      </x:c>
      <x:c r="J105" s="42" t="str">
        <x:f>IF('Drivers'!$D$8="","",'Drivers'!$D$8)</x:f>
        <x:v>USD</x:v>
      </x:c>
      <x:c r="K105" s="42" t="str">
        <x:f>IF('Drivers'!$D$21="","",'Drivers'!$D$21)</x:f>
        <x:v>Calendar</x:v>
      </x:c>
      <x:c r="L105" s="42" t="str">
        <x:f>IF('Drivers'!$D$9="","",'Drivers'!$D$9)</x:f>
        <x:v>Accrual</x:v>
      </x:c>
      <x:c r="M105" s="70" t="str">
        <x:f>IF('Drivers'!$D$12="","",'Drivers'!$D$12)</x:f>
      </x:c>
      <x:c r="N105" s="42" t="str">
        <x:f>IF('Drivers'!$D$15="","",'Drivers'!$D$15)</x:f>
      </x:c>
      <x:c r="O105" s="42" t="str">
        <x:v>expense</x:v>
      </x:c>
      <x:c r="P105" s="42" t="str">
        <x:v>above_noi</x:v>
      </x:c>
      <x:c r="Q105" s="42" t="n">
        <x:v>1</x:v>
      </x:c>
      <x:c r="R105" s="51" t="str">
        <x:f>IF(V105="Closed: excluded","",IF(ISNUMBER('STR Build'!J41),'STR Build'!J41,""))</x:f>
      </x:c>
      <x:c r="S105" s="42" t="str">
        <x:v>STR Build!J41</x:v>
      </x:c>
      <x:c r="T105" s="42" t="str">
        <x:v>Formula</x:v>
      </x:c>
      <x:c r="U105" s="67" t="str">
        <x:f>IF(ISNUMBER(R105),IF(R105=0,"Populated zero","Populated"),"Missing")</x:f>
        <x:v>Missing</x:v>
      </x:c>
      <x:c r="V105" s="67" t="str">
        <x:f>IF(AND(ISNUMBER('Drivers'!$D$12),E105&lt;='Drivers'!$D$12),"Closed: excluded","Open forecast")</x:f>
        <x:v>Open forecast</x:v>
      </x:c>
    </x:row>
    <x:row r="106" ht="22" customHeight="1">
      <x:c r="A106" s="42"/>
      <x:c r="B106" s="42"/>
      <x:c r="C106" s="42" t="str">
        <x:f>IF('Drivers'!$D$5="","",'Drivers'!$D$5)</x:f>
      </x:c>
      <x:c r="D106" s="42" t="str">
        <x:f>IF('Drivers'!$D$4="","",'Drivers'!$D$4)</x:f>
      </x:c>
      <x:c r="E106" s="69" t="n">
        <x:f>'STR Build'!J$6</x:f>
        <x:v>46508</x:v>
      </x:c>
      <x:c r="F106" s="42" t="str">
        <x:f>IF('Drivers'!$D$10="","",'Drivers'!$D$10)</x:f>
        <x:v>Working Draft</x:v>
      </x:c>
      <x:c r="G106" s="42" t="str">
        <x:f>IF('GL Mapping'!I18="",'GL Mapping'!C18,'GL Mapping'!I18)</x:f>
        <x:v>640100</x:v>
      </x:c>
      <x:c r="H106" s="42" t="str">
        <x:v>Contracts</x:v>
      </x:c>
      <x:c r="I106" s="42" t="str">
        <x:f>IF('Drivers'!$D$11="","",'Drivers'!$D$11)</x:f>
        <x:v>Short-Term Rentals</x:v>
      </x:c>
      <x:c r="J106" s="42" t="str">
        <x:f>IF('Drivers'!$D$8="","",'Drivers'!$D$8)</x:f>
        <x:v>USD</x:v>
      </x:c>
      <x:c r="K106" s="42" t="str">
        <x:f>IF('Drivers'!$D$21="","",'Drivers'!$D$21)</x:f>
        <x:v>Calendar</x:v>
      </x:c>
      <x:c r="L106" s="42" t="str">
        <x:f>IF('Drivers'!$D$9="","",'Drivers'!$D$9)</x:f>
        <x:v>Accrual</x:v>
      </x:c>
      <x:c r="M106" s="70" t="str">
        <x:f>IF('Drivers'!$D$12="","",'Drivers'!$D$12)</x:f>
      </x:c>
      <x:c r="N106" s="42" t="str">
        <x:f>IF('Drivers'!$D$15="","",'Drivers'!$D$15)</x:f>
      </x:c>
      <x:c r="O106" s="42" t="str">
        <x:v>expense</x:v>
      </x:c>
      <x:c r="P106" s="42" t="str">
        <x:v>above_noi</x:v>
      </x:c>
      <x:c r="Q106" s="42" t="n">
        <x:v>1</x:v>
      </x:c>
      <x:c r="R106" s="51" t="str">
        <x:f>IF(V106="Closed: excluded","",IF(ISNUMBER('STR Build'!J42),'STR Build'!J42,""))</x:f>
      </x:c>
      <x:c r="S106" s="42" t="str">
        <x:v>STR Build!J42</x:v>
      </x:c>
      <x:c r="T106" s="42" t="str">
        <x:v>Formula</x:v>
      </x:c>
      <x:c r="U106" s="67" t="str">
        <x:f>IF(ISNUMBER(R106),IF(R106=0,"Populated zero","Populated"),"Missing")</x:f>
        <x:v>Missing</x:v>
      </x:c>
      <x:c r="V106" s="67" t="str">
        <x:f>IF(AND(ISNUMBER('Drivers'!$D$12),E106&lt;='Drivers'!$D$12),"Closed: excluded","Open forecast")</x:f>
        <x:v>Open forecast</x:v>
      </x:c>
    </x:row>
    <x:row r="107" ht="22" customHeight="1">
      <x:c r="A107" s="42"/>
      <x:c r="B107" s="42"/>
      <x:c r="C107" s="42" t="str">
        <x:f>IF('Drivers'!$D$5="","",'Drivers'!$D$5)</x:f>
      </x:c>
      <x:c r="D107" s="42" t="str">
        <x:f>IF('Drivers'!$D$4="","",'Drivers'!$D$4)</x:f>
      </x:c>
      <x:c r="E107" s="69" t="n">
        <x:f>'STR Build'!J$6</x:f>
        <x:v>46508</x:v>
      </x:c>
      <x:c r="F107" s="42" t="str">
        <x:f>IF('Drivers'!$D$10="","",'Drivers'!$D$10)</x:f>
        <x:v>Working Draft</x:v>
      </x:c>
      <x:c r="G107" s="42" t="str">
        <x:f>IF('GL Mapping'!I19="",'GL Mapping'!C19,'GL Mapping'!I19)</x:f>
        <x:v>650100</x:v>
      </x:c>
      <x:c r="H107" s="42" t="str">
        <x:v>Marketing</x:v>
      </x:c>
      <x:c r="I107" s="42" t="str">
        <x:f>IF('Drivers'!$D$11="","",'Drivers'!$D$11)</x:f>
        <x:v>Short-Term Rentals</x:v>
      </x:c>
      <x:c r="J107" s="42" t="str">
        <x:f>IF('Drivers'!$D$8="","",'Drivers'!$D$8)</x:f>
        <x:v>USD</x:v>
      </x:c>
      <x:c r="K107" s="42" t="str">
        <x:f>IF('Drivers'!$D$21="","",'Drivers'!$D$21)</x:f>
        <x:v>Calendar</x:v>
      </x:c>
      <x:c r="L107" s="42" t="str">
        <x:f>IF('Drivers'!$D$9="","",'Drivers'!$D$9)</x:f>
        <x:v>Accrual</x:v>
      </x:c>
      <x:c r="M107" s="70" t="str">
        <x:f>IF('Drivers'!$D$12="","",'Drivers'!$D$12)</x:f>
      </x:c>
      <x:c r="N107" s="42" t="str">
        <x:f>IF('Drivers'!$D$15="","",'Drivers'!$D$15)</x:f>
      </x:c>
      <x:c r="O107" s="42" t="str">
        <x:v>expense</x:v>
      </x:c>
      <x:c r="P107" s="42" t="str">
        <x:v>above_noi</x:v>
      </x:c>
      <x:c r="Q107" s="42" t="n">
        <x:v>1</x:v>
      </x:c>
      <x:c r="R107" s="51" t="str">
        <x:f>IF(V107="Closed: excluded","",IF(ISNUMBER('STR Build'!J43),'STR Build'!J43,""))</x:f>
      </x:c>
      <x:c r="S107" s="42" t="str">
        <x:v>STR Build!J43</x:v>
      </x:c>
      <x:c r="T107" s="42" t="str">
        <x:v>Formula</x:v>
      </x:c>
      <x:c r="U107" s="67" t="str">
        <x:f>IF(ISNUMBER(R107),IF(R107=0,"Populated zero","Populated"),"Missing")</x:f>
        <x:v>Missing</x:v>
      </x:c>
      <x:c r="V107" s="67" t="str">
        <x:f>IF(AND(ISNUMBER('Drivers'!$D$12),E107&lt;='Drivers'!$D$12),"Closed: excluded","Open forecast")</x:f>
        <x:v>Open forecast</x:v>
      </x:c>
    </x:row>
    <x:row r="108" ht="22" customHeight="1">
      <x:c r="A108" s="42"/>
      <x:c r="B108" s="42"/>
      <x:c r="C108" s="42" t="str">
        <x:f>IF('Drivers'!$D$5="","",'Drivers'!$D$5)</x:f>
      </x:c>
      <x:c r="D108" s="42" t="str">
        <x:f>IF('Drivers'!$D$4="","",'Drivers'!$D$4)</x:f>
      </x:c>
      <x:c r="E108" s="69" t="n">
        <x:f>'STR Build'!J$6</x:f>
        <x:v>46508</x:v>
      </x:c>
      <x:c r="F108" s="42" t="str">
        <x:f>IF('Drivers'!$D$10="","",'Drivers'!$D$10)</x:f>
        <x:v>Working Draft</x:v>
      </x:c>
      <x:c r="G108" s="42" t="str">
        <x:f>IF('GL Mapping'!I20="",'GL Mapping'!C20,'GL Mapping'!I20)</x:f>
        <x:v>660100</x:v>
      </x:c>
      <x:c r="H108" s="42" t="str">
        <x:v>Maintenance</x:v>
      </x:c>
      <x:c r="I108" s="42" t="str">
        <x:f>IF('Drivers'!$D$11="","",'Drivers'!$D$11)</x:f>
        <x:v>Short-Term Rentals</x:v>
      </x:c>
      <x:c r="J108" s="42" t="str">
        <x:f>IF('Drivers'!$D$8="","",'Drivers'!$D$8)</x:f>
        <x:v>USD</x:v>
      </x:c>
      <x:c r="K108" s="42" t="str">
        <x:f>IF('Drivers'!$D$21="","",'Drivers'!$D$21)</x:f>
        <x:v>Calendar</x:v>
      </x:c>
      <x:c r="L108" s="42" t="str">
        <x:f>IF('Drivers'!$D$9="","",'Drivers'!$D$9)</x:f>
        <x:v>Accrual</x:v>
      </x:c>
      <x:c r="M108" s="70" t="str">
        <x:f>IF('Drivers'!$D$12="","",'Drivers'!$D$12)</x:f>
      </x:c>
      <x:c r="N108" s="42" t="str">
        <x:f>IF('Drivers'!$D$15="","",'Drivers'!$D$15)</x:f>
      </x:c>
      <x:c r="O108" s="42" t="str">
        <x:v>expense</x:v>
      </x:c>
      <x:c r="P108" s="42" t="str">
        <x:v>above_noi</x:v>
      </x:c>
      <x:c r="Q108" s="42" t="n">
        <x:v>1</x:v>
      </x:c>
      <x:c r="R108" s="51" t="str">
        <x:f>IF(V108="Closed: excluded","",IF(ISNUMBER('STR Build'!J44),'STR Build'!J44,""))</x:f>
      </x:c>
      <x:c r="S108" s="42" t="str">
        <x:v>STR Build!J44</x:v>
      </x:c>
      <x:c r="T108" s="42" t="str">
        <x:v>Formula</x:v>
      </x:c>
      <x:c r="U108" s="67" t="str">
        <x:f>IF(ISNUMBER(R108),IF(R108=0,"Populated zero","Populated"),"Missing")</x:f>
        <x:v>Missing</x:v>
      </x:c>
      <x:c r="V108" s="67" t="str">
        <x:f>IF(AND(ISNUMBER('Drivers'!$D$12),E108&lt;='Drivers'!$D$12),"Closed: excluded","Open forecast")</x:f>
        <x:v>Open forecast</x:v>
      </x:c>
    </x:row>
    <x:row r="109" ht="22" customHeight="1">
      <x:c r="A109" s="42"/>
      <x:c r="B109" s="42"/>
      <x:c r="C109" s="42" t="str">
        <x:f>IF('Drivers'!$D$5="","",'Drivers'!$D$5)</x:f>
      </x:c>
      <x:c r="D109" s="42" t="str">
        <x:f>IF('Drivers'!$D$4="","",'Drivers'!$D$4)</x:f>
      </x:c>
      <x:c r="E109" s="69" t="n">
        <x:f>'STR Build'!J$6</x:f>
        <x:v>46508</x:v>
      </x:c>
      <x:c r="F109" s="42" t="str">
        <x:f>IF('Drivers'!$D$10="","",'Drivers'!$D$10)</x:f>
        <x:v>Working Draft</x:v>
      </x:c>
      <x:c r="G109" s="42" t="str">
        <x:f>IF('GL Mapping'!I21="",'GL Mapping'!C21,'GL Mapping'!I21)</x:f>
        <x:v>670100</x:v>
      </x:c>
      <x:c r="H109" s="42" t="str">
        <x:v>Insurance</x:v>
      </x:c>
      <x:c r="I109" s="42" t="str">
        <x:f>IF('Drivers'!$D$11="","",'Drivers'!$D$11)</x:f>
        <x:v>Short-Term Rentals</x:v>
      </x:c>
      <x:c r="J109" s="42" t="str">
        <x:f>IF('Drivers'!$D$8="","",'Drivers'!$D$8)</x:f>
        <x:v>USD</x:v>
      </x:c>
      <x:c r="K109" s="42" t="str">
        <x:f>IF('Drivers'!$D$21="","",'Drivers'!$D$21)</x:f>
        <x:v>Calendar</x:v>
      </x:c>
      <x:c r="L109" s="42" t="str">
        <x:f>IF('Drivers'!$D$9="","",'Drivers'!$D$9)</x:f>
        <x:v>Accrual</x:v>
      </x:c>
      <x:c r="M109" s="70" t="str">
        <x:f>IF('Drivers'!$D$12="","",'Drivers'!$D$12)</x:f>
      </x:c>
      <x:c r="N109" s="42" t="str">
        <x:f>IF('Drivers'!$D$15="","",'Drivers'!$D$15)</x:f>
      </x:c>
      <x:c r="O109" s="42" t="str">
        <x:v>expense</x:v>
      </x:c>
      <x:c r="P109" s="42" t="str">
        <x:v>above_noi</x:v>
      </x:c>
      <x:c r="Q109" s="42" t="n">
        <x:v>1</x:v>
      </x:c>
      <x:c r="R109" s="51" t="str">
        <x:f>IF(V109="Closed: excluded","",IF(ISNUMBER('STR Build'!J45),'STR Build'!J45,""))</x:f>
      </x:c>
      <x:c r="S109" s="42" t="str">
        <x:v>STR Build!J45</x:v>
      </x:c>
      <x:c r="T109" s="42" t="str">
        <x:v>Formula</x:v>
      </x:c>
      <x:c r="U109" s="67" t="str">
        <x:f>IF(ISNUMBER(R109),IF(R109=0,"Populated zero","Populated"),"Missing")</x:f>
        <x:v>Missing</x:v>
      </x:c>
      <x:c r="V109" s="67" t="str">
        <x:f>IF(AND(ISNUMBER('Drivers'!$D$12),E109&lt;='Drivers'!$D$12),"Closed: excluded","Open forecast")</x:f>
        <x:v>Open forecast</x:v>
      </x:c>
    </x:row>
    <x:row r="110" ht="22" customHeight="1">
      <x:c r="A110" s="42"/>
      <x:c r="B110" s="42"/>
      <x:c r="C110" s="42" t="str">
        <x:f>IF('Drivers'!$D$5="","",'Drivers'!$D$5)</x:f>
      </x:c>
      <x:c r="D110" s="42" t="str">
        <x:f>IF('Drivers'!$D$4="","",'Drivers'!$D$4)</x:f>
      </x:c>
      <x:c r="E110" s="69" t="n">
        <x:f>'STR Build'!J$6</x:f>
        <x:v>46508</x:v>
      </x:c>
      <x:c r="F110" s="42" t="str">
        <x:f>IF('Drivers'!$D$10="","",'Drivers'!$D$10)</x:f>
        <x:v>Working Draft</x:v>
      </x:c>
      <x:c r="G110" s="42" t="str">
        <x:f>IF('GL Mapping'!I22="",'GL Mapping'!C22,'GL Mapping'!I22)</x:f>
        <x:v>680100</x:v>
      </x:c>
      <x:c r="H110" s="42" t="str">
        <x:v>Property taxes</x:v>
      </x:c>
      <x:c r="I110" s="42" t="str">
        <x:f>IF('Drivers'!$D$11="","",'Drivers'!$D$11)</x:f>
        <x:v>Short-Term Rentals</x:v>
      </x:c>
      <x:c r="J110" s="42" t="str">
        <x:f>IF('Drivers'!$D$8="","",'Drivers'!$D$8)</x:f>
        <x:v>USD</x:v>
      </x:c>
      <x:c r="K110" s="42" t="str">
        <x:f>IF('Drivers'!$D$21="","",'Drivers'!$D$21)</x:f>
        <x:v>Calendar</x:v>
      </x:c>
      <x:c r="L110" s="42" t="str">
        <x:f>IF('Drivers'!$D$9="","",'Drivers'!$D$9)</x:f>
        <x:v>Accrual</x:v>
      </x:c>
      <x:c r="M110" s="70" t="str">
        <x:f>IF('Drivers'!$D$12="","",'Drivers'!$D$12)</x:f>
      </x:c>
      <x:c r="N110" s="42" t="str">
        <x:f>IF('Drivers'!$D$15="","",'Drivers'!$D$15)</x:f>
      </x:c>
      <x:c r="O110" s="42" t="str">
        <x:v>expense</x:v>
      </x:c>
      <x:c r="P110" s="42" t="str">
        <x:v>above_noi</x:v>
      </x:c>
      <x:c r="Q110" s="42" t="n">
        <x:v>1</x:v>
      </x:c>
      <x:c r="R110" s="51" t="str">
        <x:f>IF(V110="Closed: excluded","",IF(ISNUMBER('STR Build'!J46),'STR Build'!J46,""))</x:f>
      </x:c>
      <x:c r="S110" s="42" t="str">
        <x:v>STR Build!J46</x:v>
      </x:c>
      <x:c r="T110" s="42" t="str">
        <x:v>Formula</x:v>
      </x:c>
      <x:c r="U110" s="67" t="str">
        <x:f>IF(ISNUMBER(R110),IF(R110=0,"Populated zero","Populated"),"Missing")</x:f>
        <x:v>Missing</x:v>
      </x:c>
      <x:c r="V110" s="67" t="str">
        <x:f>IF(AND(ISNUMBER('Drivers'!$D$12),E110&lt;='Drivers'!$D$12),"Closed: excluded","Open forecast")</x:f>
        <x:v>Open forecast</x:v>
      </x:c>
    </x:row>
    <x:row r="111" ht="22" customHeight="1">
      <x:c r="A111" s="42"/>
      <x:c r="B111" s="42"/>
      <x:c r="C111" s="42" t="str">
        <x:f>IF('Drivers'!$D$5="","",'Drivers'!$D$5)</x:f>
      </x:c>
      <x:c r="D111" s="42" t="str">
        <x:f>IF('Drivers'!$D$4="","",'Drivers'!$D$4)</x:f>
      </x:c>
      <x:c r="E111" s="69" t="n">
        <x:f>'STR Build'!J$6</x:f>
        <x:v>46508</x:v>
      </x:c>
      <x:c r="F111" s="42" t="str">
        <x:f>IF('Drivers'!$D$10="","",'Drivers'!$D$10)</x:f>
        <x:v>Working Draft</x:v>
      </x:c>
      <x:c r="G111" s="42" t="str">
        <x:f>IF('GL Mapping'!I23="",'GL Mapping'!C23,'GL Mapping'!I23)</x:f>
        <x:v>690100</x:v>
      </x:c>
      <x:c r="H111" s="42" t="str">
        <x:v>Other operating expenses</x:v>
      </x:c>
      <x:c r="I111" s="42" t="str">
        <x:f>IF('Drivers'!$D$11="","",'Drivers'!$D$11)</x:f>
        <x:v>Short-Term Rentals</x:v>
      </x:c>
      <x:c r="J111" s="42" t="str">
        <x:f>IF('Drivers'!$D$8="","",'Drivers'!$D$8)</x:f>
        <x:v>USD</x:v>
      </x:c>
      <x:c r="K111" s="42" t="str">
        <x:f>IF('Drivers'!$D$21="","",'Drivers'!$D$21)</x:f>
        <x:v>Calendar</x:v>
      </x:c>
      <x:c r="L111" s="42" t="str">
        <x:f>IF('Drivers'!$D$9="","",'Drivers'!$D$9)</x:f>
        <x:v>Accrual</x:v>
      </x:c>
      <x:c r="M111" s="70" t="str">
        <x:f>IF('Drivers'!$D$12="","",'Drivers'!$D$12)</x:f>
      </x:c>
      <x:c r="N111" s="42" t="str">
        <x:f>IF('Drivers'!$D$15="","",'Drivers'!$D$15)</x:f>
      </x:c>
      <x:c r="O111" s="42" t="str">
        <x:v>expense</x:v>
      </x:c>
      <x:c r="P111" s="42" t="str">
        <x:v>above_noi</x:v>
      </x:c>
      <x:c r="Q111" s="42" t="n">
        <x:v>1</x:v>
      </x:c>
      <x:c r="R111" s="51" t="str">
        <x:f>IF(V111="Closed: excluded","",IF(ISNUMBER('STR Build'!J47),'STR Build'!J47,""))</x:f>
      </x:c>
      <x:c r="S111" s="42" t="str">
        <x:v>STR Build!J47</x:v>
      </x:c>
      <x:c r="T111" s="42" t="str">
        <x:v>Formula</x:v>
      </x:c>
      <x:c r="U111" s="67" t="str">
        <x:f>IF(ISNUMBER(R111),IF(R111=0,"Populated zero","Populated"),"Missing")</x:f>
        <x:v>Missing</x:v>
      </x:c>
      <x:c r="V111" s="67" t="str">
        <x:f>IF(AND(ISNUMBER('Drivers'!$D$12),E111&lt;='Drivers'!$D$12),"Closed: excluded","Open forecast")</x:f>
        <x:v>Open forecast</x:v>
      </x:c>
    </x:row>
    <x:row r="112" ht="22" customHeight="1">
      <x:c r="A112" s="42"/>
      <x:c r="B112" s="42"/>
      <x:c r="C112" s="42" t="str">
        <x:f>IF('Drivers'!$D$5="","",'Drivers'!$D$5)</x:f>
      </x:c>
      <x:c r="D112" s="42" t="str">
        <x:f>IF('Drivers'!$D$4="","",'Drivers'!$D$4)</x:f>
      </x:c>
      <x:c r="E112" s="69" t="n">
        <x:f>'STR Build'!J$6</x:f>
        <x:v>46508</x:v>
      </x:c>
      <x:c r="F112" s="42" t="str">
        <x:f>IF('Drivers'!$D$10="","",'Drivers'!$D$10)</x:f>
        <x:v>Working Draft</x:v>
      </x:c>
      <x:c r="G112" s="42" t="str">
        <x:f>IF('GL Mapping'!I24="",'GL Mapping'!C24,'GL Mapping'!I24)</x:f>
        <x:v>710100</x:v>
      </x:c>
      <x:c r="H112" s="42" t="str">
        <x:v>Other below-NOI cash costs</x:v>
      </x:c>
      <x:c r="I112" s="42" t="str">
        <x:f>IF('Drivers'!$D$11="","",'Drivers'!$D$11)</x:f>
        <x:v>Short-Term Rentals</x:v>
      </x:c>
      <x:c r="J112" s="42" t="str">
        <x:f>IF('Drivers'!$D$8="","",'Drivers'!$D$8)</x:f>
        <x:v>USD</x:v>
      </x:c>
      <x:c r="K112" s="42" t="str">
        <x:f>IF('Drivers'!$D$21="","",'Drivers'!$D$21)</x:f>
        <x:v>Calendar</x:v>
      </x:c>
      <x:c r="L112" s="42" t="str">
        <x:f>IF('Drivers'!$D$9="","",'Drivers'!$D$9)</x:f>
        <x:v>Accrual</x:v>
      </x:c>
      <x:c r="M112" s="70" t="str">
        <x:f>IF('Drivers'!$D$12="","",'Drivers'!$D$12)</x:f>
      </x:c>
      <x:c r="N112" s="42" t="str">
        <x:f>IF('Drivers'!$D$15="","",'Drivers'!$D$15)</x:f>
      </x:c>
      <x:c r="O112" s="42" t="str">
        <x:v>below_noi</x:v>
      </x:c>
      <x:c r="P112" s="42" t="str">
        <x:v>below_noi</x:v>
      </x:c>
      <x:c r="Q112" s="42" t="n">
        <x:v>1</x:v>
      </x:c>
      <x:c r="R112" s="51" t="str">
        <x:f>IF(V112="Closed: excluded","",IF(ISNUMBER('STR Build'!J55),'STR Build'!J55,""))</x:f>
      </x:c>
      <x:c r="S112" s="42" t="str">
        <x:v>STR Build!J55</x:v>
      </x:c>
      <x:c r="T112" s="42" t="str">
        <x:v>Formula</x:v>
      </x:c>
      <x:c r="U112" s="67" t="str">
        <x:f>IF(ISNUMBER(R112),IF(R112=0,"Populated zero","Populated"),"Missing")</x:f>
        <x:v>Missing</x:v>
      </x:c>
      <x:c r="V112" s="67" t="str">
        <x:f>IF(AND(ISNUMBER('Drivers'!$D$12),E112&lt;='Drivers'!$D$12),"Closed: excluded","Open forecast")</x:f>
        <x:v>Open forecast</x:v>
      </x:c>
    </x:row>
    <x:row r="113" ht="22" customHeight="1">
      <x:c r="A113" s="42"/>
      <x:c r="B113" s="42"/>
      <x:c r="C113" s="42" t="str">
        <x:f>IF('Drivers'!$D$5="","",'Drivers'!$D$5)</x:f>
      </x:c>
      <x:c r="D113" s="42" t="str">
        <x:f>IF('Drivers'!$D$4="","",'Drivers'!$D$4)</x:f>
      </x:c>
      <x:c r="E113" s="69" t="n">
        <x:f>'STR Build'!J$6</x:f>
        <x:v>46508</x:v>
      </x:c>
      <x:c r="F113" s="42" t="str">
        <x:f>IF('Drivers'!$D$10="","",'Drivers'!$D$10)</x:f>
        <x:v>Working Draft</x:v>
      </x:c>
      <x:c r="G113" s="42" t="str">
        <x:f>IF('GL Mapping'!I25="",'GL Mapping'!C25,'GL Mapping'!I25)</x:f>
        <x:v>720100</x:v>
      </x:c>
      <x:c r="H113" s="42" t="str">
        <x:v>Debt interest</x:v>
      </x:c>
      <x:c r="I113" s="42" t="str">
        <x:f>IF('Drivers'!$D$11="","",'Drivers'!$D$11)</x:f>
        <x:v>Short-Term Rentals</x:v>
      </x:c>
      <x:c r="J113" s="42" t="str">
        <x:f>IF('Drivers'!$D$8="","",'Drivers'!$D$8)</x:f>
        <x:v>USD</x:v>
      </x:c>
      <x:c r="K113" s="42" t="str">
        <x:f>IF('Drivers'!$D$21="","",'Drivers'!$D$21)</x:f>
        <x:v>Calendar</x:v>
      </x:c>
      <x:c r="L113" s="42" t="str">
        <x:f>IF('Drivers'!$D$9="","",'Drivers'!$D$9)</x:f>
        <x:v>Accrual</x:v>
      </x:c>
      <x:c r="M113" s="70" t="str">
        <x:f>IF('Drivers'!$D$12="","",'Drivers'!$D$12)</x:f>
      </x:c>
      <x:c r="N113" s="42" t="str">
        <x:f>IF('Drivers'!$D$15="","",'Drivers'!$D$15)</x:f>
      </x:c>
      <x:c r="O113" s="42" t="str">
        <x:v>debt</x:v>
      </x:c>
      <x:c r="P113" s="42" t="str">
        <x:v>below_noi</x:v>
      </x:c>
      <x:c r="Q113" s="42" t="n">
        <x:v>1</x:v>
      </x:c>
      <x:c r="R113" s="51" t="str">
        <x:f>IF(V113="Closed: excluded","",IF(ISNUMBER('STR Build'!J56),'STR Build'!J56,""))</x:f>
      </x:c>
      <x:c r="S113" s="42" t="str">
        <x:v>STR Build!J56</x:v>
      </x:c>
      <x:c r="T113" s="42" t="str">
        <x:v>Formula</x:v>
      </x:c>
      <x:c r="U113" s="67" t="str">
        <x:f>IF(ISNUMBER(R113),IF(R113=0,"Populated zero","Populated"),"Missing")</x:f>
        <x:v>Missing</x:v>
      </x:c>
      <x:c r="V113" s="67" t="str">
        <x:f>IF(AND(ISNUMBER('Drivers'!$D$12),E113&lt;='Drivers'!$D$12),"Closed: excluded","Open forecast")</x:f>
        <x:v>Open forecast</x:v>
      </x:c>
    </x:row>
    <x:row r="114" ht="22" customHeight="1">
      <x:c r="A114" s="42"/>
      <x:c r="B114" s="42"/>
      <x:c r="C114" s="42" t="str">
        <x:f>IF('Drivers'!$D$5="","",'Drivers'!$D$5)</x:f>
      </x:c>
      <x:c r="D114" s="42" t="str">
        <x:f>IF('Drivers'!$D$4="","",'Drivers'!$D$4)</x:f>
      </x:c>
      <x:c r="E114" s="69" t="n">
        <x:f>'STR Build'!J$6</x:f>
        <x:v>46508</x:v>
      </x:c>
      <x:c r="F114" s="42" t="str">
        <x:f>IF('Drivers'!$D$10="","",'Drivers'!$D$10)</x:f>
        <x:v>Working Draft</x:v>
      </x:c>
      <x:c r="G114" s="42" t="str">
        <x:f>IF('GL Mapping'!I26="",'GL Mapping'!C26,'GL Mapping'!I26)</x:f>
        <x:v>720200</x:v>
      </x:c>
      <x:c r="H114" s="42" t="str">
        <x:v>Debt principal</x:v>
      </x:c>
      <x:c r="I114" s="42" t="str">
        <x:f>IF('Drivers'!$D$11="","",'Drivers'!$D$11)</x:f>
        <x:v>Short-Term Rentals</x:v>
      </x:c>
      <x:c r="J114" s="42" t="str">
        <x:f>IF('Drivers'!$D$8="","",'Drivers'!$D$8)</x:f>
        <x:v>USD</x:v>
      </x:c>
      <x:c r="K114" s="42" t="str">
        <x:f>IF('Drivers'!$D$21="","",'Drivers'!$D$21)</x:f>
        <x:v>Calendar</x:v>
      </x:c>
      <x:c r="L114" s="42" t="str">
        <x:f>IF('Drivers'!$D$9="","",'Drivers'!$D$9)</x:f>
        <x:v>Accrual</x:v>
      </x:c>
      <x:c r="M114" s="70" t="str">
        <x:f>IF('Drivers'!$D$12="","",'Drivers'!$D$12)</x:f>
      </x:c>
      <x:c r="N114" s="42" t="str">
        <x:f>IF('Drivers'!$D$15="","",'Drivers'!$D$15)</x:f>
      </x:c>
      <x:c r="O114" s="42" t="str">
        <x:v>debt</x:v>
      </x:c>
      <x:c r="P114" s="42" t="str">
        <x:v>below_noi</x:v>
      </x:c>
      <x:c r="Q114" s="42" t="n">
        <x:v>1</x:v>
      </x:c>
      <x:c r="R114" s="51" t="str">
        <x:f>IF(V114="Closed: excluded","",IF(ISNUMBER('STR Build'!J57),'STR Build'!J57,""))</x:f>
      </x:c>
      <x:c r="S114" s="42" t="str">
        <x:v>STR Build!J57</x:v>
      </x:c>
      <x:c r="T114" s="42" t="str">
        <x:v>Formula</x:v>
      </x:c>
      <x:c r="U114" s="67" t="str">
        <x:f>IF(ISNUMBER(R114),IF(R114=0,"Populated zero","Populated"),"Missing")</x:f>
        <x:v>Missing</x:v>
      </x:c>
      <x:c r="V114" s="67" t="str">
        <x:f>IF(AND(ISNUMBER('Drivers'!$D$12),E114&lt;='Drivers'!$D$12),"Closed: excluded","Open forecast")</x:f>
        <x:v>Open forecast</x:v>
      </x:c>
    </x:row>
    <x:row r="115" ht="22" customHeight="1">
      <x:c r="A115" s="42"/>
      <x:c r="B115" s="42"/>
      <x:c r="C115" s="42" t="str">
        <x:f>IF('Drivers'!$D$5="","",'Drivers'!$D$5)</x:f>
      </x:c>
      <x:c r="D115" s="42" t="str">
        <x:f>IF('Drivers'!$D$4="","",'Drivers'!$D$4)</x:f>
      </x:c>
      <x:c r="E115" s="69" t="n">
        <x:f>'STR Build'!J$6</x:f>
        <x:v>46508</x:v>
      </x:c>
      <x:c r="F115" s="42" t="str">
        <x:f>IF('Drivers'!$D$10="","",'Drivers'!$D$10)</x:f>
        <x:v>Working Draft</x:v>
      </x:c>
      <x:c r="G115" s="42" t="str">
        <x:f>IF('GL Mapping'!I27="",'GL Mapping'!C27,'GL Mapping'!I27)</x:f>
        <x:v>730100</x:v>
      </x:c>
      <x:c r="H115" s="42" t="str">
        <x:v>Capital expenditure</x:v>
      </x:c>
      <x:c r="I115" s="42" t="str">
        <x:f>IF('Drivers'!$D$11="","",'Drivers'!$D$11)</x:f>
        <x:v>Short-Term Rentals</x:v>
      </x:c>
      <x:c r="J115" s="42" t="str">
        <x:f>IF('Drivers'!$D$8="","",'Drivers'!$D$8)</x:f>
        <x:v>USD</x:v>
      </x:c>
      <x:c r="K115" s="42" t="str">
        <x:f>IF('Drivers'!$D$21="","",'Drivers'!$D$21)</x:f>
        <x:v>Calendar</x:v>
      </x:c>
      <x:c r="L115" s="42" t="str">
        <x:f>IF('Drivers'!$D$9="","",'Drivers'!$D$9)</x:f>
        <x:v>Accrual</x:v>
      </x:c>
      <x:c r="M115" s="70" t="str">
        <x:f>IF('Drivers'!$D$12="","",'Drivers'!$D$12)</x:f>
      </x:c>
      <x:c r="N115" s="42" t="str">
        <x:f>IF('Drivers'!$D$15="","",'Drivers'!$D$15)</x:f>
      </x:c>
      <x:c r="O115" s="42" t="str">
        <x:v>capital</x:v>
      </x:c>
      <x:c r="P115" s="42" t="str">
        <x:v>below_noi</x:v>
      </x:c>
      <x:c r="Q115" s="42" t="n">
        <x:v>1</x:v>
      </x:c>
      <x:c r="R115" s="51" t="str">
        <x:f>IF(V115="Closed: excluded","",IF(ISNUMBER('STR Build'!J58),'STR Build'!J58,""))</x:f>
      </x:c>
      <x:c r="S115" s="42" t="str">
        <x:v>STR Build!J58</x:v>
      </x:c>
      <x:c r="T115" s="42" t="str">
        <x:v>Formula</x:v>
      </x:c>
      <x:c r="U115" s="67" t="str">
        <x:f>IF(ISNUMBER(R115),IF(R115=0,"Populated zero","Populated"),"Missing")</x:f>
        <x:v>Missing</x:v>
      </x:c>
      <x:c r="V115" s="67" t="str">
        <x:f>IF(AND(ISNUMBER('Drivers'!$D$12),E115&lt;='Drivers'!$D$12),"Closed: excluded","Open forecast")</x:f>
        <x:v>Open forecast</x:v>
      </x:c>
    </x:row>
    <x:row r="116" ht="22" customHeight="1">
      <x:c r="A116" s="42"/>
      <x:c r="B116" s="42"/>
      <x:c r="C116" s="42" t="str">
        <x:f>IF('Drivers'!$D$5="","",'Drivers'!$D$5)</x:f>
      </x:c>
      <x:c r="D116" s="42" t="str">
        <x:f>IF('Drivers'!$D$4="","",'Drivers'!$D$4)</x:f>
      </x:c>
      <x:c r="E116" s="69" t="n">
        <x:f>'STR Build'!J$6</x:f>
        <x:v>46508</x:v>
      </x:c>
      <x:c r="F116" s="42" t="str">
        <x:f>IF('Drivers'!$D$10="","",'Drivers'!$D$10)</x:f>
        <x:v>Working Draft</x:v>
      </x:c>
      <x:c r="G116" s="42" t="str">
        <x:f>IF('GL Mapping'!I28="",'GL Mapping'!C28,'GL Mapping'!I28)</x:f>
        <x:v>740100</x:v>
      </x:c>
      <x:c r="H116" s="42" t="str">
        <x:v>Working-capital cash use</x:v>
      </x:c>
      <x:c r="I116" s="42" t="str">
        <x:f>IF('Drivers'!$D$11="","",'Drivers'!$D$11)</x:f>
        <x:v>Short-Term Rentals</x:v>
      </x:c>
      <x:c r="J116" s="42" t="str">
        <x:f>IF('Drivers'!$D$8="","",'Drivers'!$D$8)</x:f>
        <x:v>USD</x:v>
      </x:c>
      <x:c r="K116" s="42" t="str">
        <x:f>IF('Drivers'!$D$21="","",'Drivers'!$D$21)</x:f>
        <x:v>Calendar</x:v>
      </x:c>
      <x:c r="L116" s="42" t="str">
        <x:f>IF('Drivers'!$D$9="","",'Drivers'!$D$9)</x:f>
        <x:v>Accrual</x:v>
      </x:c>
      <x:c r="M116" s="70" t="str">
        <x:f>IF('Drivers'!$D$12="","",'Drivers'!$D$12)</x:f>
      </x:c>
      <x:c r="N116" s="42" t="str">
        <x:f>IF('Drivers'!$D$15="","",'Drivers'!$D$15)</x:f>
      </x:c>
      <x:c r="O116" s="42" t="str">
        <x:v>below_noi</x:v>
      </x:c>
      <x:c r="P116" s="42" t="str">
        <x:v>below_noi</x:v>
      </x:c>
      <x:c r="Q116" s="42" t="n">
        <x:v>1</x:v>
      </x:c>
      <x:c r="R116" s="51" t="str">
        <x:f>IF(V116="Closed: excluded","",IF(ISNUMBER('STR Build'!J59),'STR Build'!J59,""))</x:f>
      </x:c>
      <x:c r="S116" s="42" t="str">
        <x:v>STR Build!J59</x:v>
      </x:c>
      <x:c r="T116" s="42" t="str">
        <x:v>Formula</x:v>
      </x:c>
      <x:c r="U116" s="67" t="str">
        <x:f>IF(ISNUMBER(R116),IF(R116=0,"Populated zero","Populated"),"Missing")</x:f>
        <x:v>Missing</x:v>
      </x:c>
      <x:c r="V116" s="67" t="str">
        <x:f>IF(AND(ISNUMBER('Drivers'!$D$12),E116&lt;='Drivers'!$D$12),"Closed: excluded","Open forecast")</x:f>
        <x:v>Open forecast</x:v>
      </x:c>
    </x:row>
    <x:row r="117" ht="22" customHeight="1">
      <x:c r="A117" s="42"/>
      <x:c r="B117" s="42"/>
      <x:c r="C117" s="42" t="str">
        <x:f>IF('Drivers'!$D$5="","",'Drivers'!$D$5)</x:f>
      </x:c>
      <x:c r="D117" s="42" t="str">
        <x:f>IF('Drivers'!$D$4="","",'Drivers'!$D$4)</x:f>
      </x:c>
      <x:c r="E117" s="69" t="n">
        <x:f>'STR Build'!K$6</x:f>
        <x:v>46539</x:v>
      </x:c>
      <x:c r="F117" s="42" t="str">
        <x:f>IF('Drivers'!$D$10="","",'Drivers'!$D$10)</x:f>
        <x:v>Working Draft</x:v>
      </x:c>
      <x:c r="G117" s="42" t="str">
        <x:f>IF('GL Mapping'!I7="",'GL Mapping'!C7,'GL Mapping'!I7)</x:f>
        <x:v>410100</x:v>
      </x:c>
      <x:c r="H117" s="42" t="str">
        <x:v>Lodging revenue</x:v>
      </x:c>
      <x:c r="I117" s="42" t="str">
        <x:f>IF('Drivers'!$D$11="","",'Drivers'!$D$11)</x:f>
        <x:v>Short-Term Rentals</x:v>
      </x:c>
      <x:c r="J117" s="42" t="str">
        <x:f>IF('Drivers'!$D$8="","",'Drivers'!$D$8)</x:f>
        <x:v>USD</x:v>
      </x:c>
      <x:c r="K117" s="42" t="str">
        <x:f>IF('Drivers'!$D$21="","",'Drivers'!$D$21)</x:f>
        <x:v>Calendar</x:v>
      </x:c>
      <x:c r="L117" s="42" t="str">
        <x:f>IF('Drivers'!$D$9="","",'Drivers'!$D$9)</x:f>
        <x:v>Accrual</x:v>
      </x:c>
      <x:c r="M117" s="70" t="str">
        <x:f>IF('Drivers'!$D$12="","",'Drivers'!$D$12)</x:f>
      </x:c>
      <x:c r="N117" s="42" t="str">
        <x:f>IF('Drivers'!$D$15="","",'Drivers'!$D$15)</x:f>
      </x:c>
      <x:c r="O117" s="42" t="str">
        <x:v>income</x:v>
      </x:c>
      <x:c r="P117" s="42" t="str">
        <x:v>above_noi</x:v>
      </x:c>
      <x:c r="Q117" s="42" t="n">
        <x:v>1</x:v>
      </x:c>
      <x:c r="R117" s="51" t="str">
        <x:f>IF(V117="Closed: excluded","",IF(ISNUMBER('STR Build'!K28),'STR Build'!K28,""))</x:f>
      </x:c>
      <x:c r="S117" s="42" t="str">
        <x:v>STR Build!K28</x:v>
      </x:c>
      <x:c r="T117" s="42" t="str">
        <x:v>Formula</x:v>
      </x:c>
      <x:c r="U117" s="67" t="str">
        <x:f>IF(ISNUMBER(R117),IF(R117=0,"Populated zero","Populated"),"Missing")</x:f>
        <x:v>Missing</x:v>
      </x:c>
      <x:c r="V117" s="67" t="str">
        <x:f>IF(AND(ISNUMBER('Drivers'!$D$12),E117&lt;='Drivers'!$D$12),"Closed: excluded","Open forecast")</x:f>
        <x:v>Open forecast</x:v>
      </x:c>
    </x:row>
    <x:row r="118" ht="22" customHeight="1">
      <x:c r="A118" s="42"/>
      <x:c r="B118" s="42"/>
      <x:c r="C118" s="42" t="str">
        <x:f>IF('Drivers'!$D$5="","",'Drivers'!$D$5)</x:f>
      </x:c>
      <x:c r="D118" s="42" t="str">
        <x:f>IF('Drivers'!$D$4="","",'Drivers'!$D$4)</x:f>
      </x:c>
      <x:c r="E118" s="69" t="n">
        <x:f>'STR Build'!K$6</x:f>
        <x:v>46539</x:v>
      </x:c>
      <x:c r="F118" s="42" t="str">
        <x:f>IF('Drivers'!$D$10="","",'Drivers'!$D$10)</x:f>
        <x:v>Working Draft</x:v>
      </x:c>
      <x:c r="G118" s="42" t="str">
        <x:f>IF('GL Mapping'!I8="",'GL Mapping'!C8,'GL Mapping'!I8)</x:f>
        <x:v>410200</x:v>
      </x:c>
      <x:c r="H118" s="42" t="str">
        <x:v>Cleaning fee income</x:v>
      </x:c>
      <x:c r="I118" s="42" t="str">
        <x:f>IF('Drivers'!$D$11="","",'Drivers'!$D$11)</x:f>
        <x:v>Short-Term Rentals</x:v>
      </x:c>
      <x:c r="J118" s="42" t="str">
        <x:f>IF('Drivers'!$D$8="","",'Drivers'!$D$8)</x:f>
        <x:v>USD</x:v>
      </x:c>
      <x:c r="K118" s="42" t="str">
        <x:f>IF('Drivers'!$D$21="","",'Drivers'!$D$21)</x:f>
        <x:v>Calendar</x:v>
      </x:c>
      <x:c r="L118" s="42" t="str">
        <x:f>IF('Drivers'!$D$9="","",'Drivers'!$D$9)</x:f>
        <x:v>Accrual</x:v>
      </x:c>
      <x:c r="M118" s="70" t="str">
        <x:f>IF('Drivers'!$D$12="","",'Drivers'!$D$12)</x:f>
      </x:c>
      <x:c r="N118" s="42" t="str">
        <x:f>IF('Drivers'!$D$15="","",'Drivers'!$D$15)</x:f>
      </x:c>
      <x:c r="O118" s="42" t="str">
        <x:v>income</x:v>
      </x:c>
      <x:c r="P118" s="42" t="str">
        <x:v>above_noi</x:v>
      </x:c>
      <x:c r="Q118" s="42" t="n">
        <x:v>1</x:v>
      </x:c>
      <x:c r="R118" s="51" t="str">
        <x:f>IF(V118="Closed: excluded","",IF(ISNUMBER('STR Build'!K29),'STR Build'!K29,""))</x:f>
      </x:c>
      <x:c r="S118" s="42" t="str">
        <x:v>STR Build!K29</x:v>
      </x:c>
      <x:c r="T118" s="42" t="str">
        <x:v>Formula</x:v>
      </x:c>
      <x:c r="U118" s="67" t="str">
        <x:f>IF(ISNUMBER(R118),IF(R118=0,"Populated zero","Populated"),"Missing")</x:f>
        <x:v>Missing</x:v>
      </x:c>
      <x:c r="V118" s="67" t="str">
        <x:f>IF(AND(ISNUMBER('Drivers'!$D$12),E118&lt;='Drivers'!$D$12),"Closed: excluded","Open forecast")</x:f>
        <x:v>Open forecast</x:v>
      </x:c>
    </x:row>
    <x:row r="119" ht="22" customHeight="1">
      <x:c r="A119" s="42"/>
      <x:c r="B119" s="42"/>
      <x:c r="C119" s="42" t="str">
        <x:f>IF('Drivers'!$D$5="","",'Drivers'!$D$5)</x:f>
      </x:c>
      <x:c r="D119" s="42" t="str">
        <x:f>IF('Drivers'!$D$4="","",'Drivers'!$D$4)</x:f>
      </x:c>
      <x:c r="E119" s="69" t="n">
        <x:f>'STR Build'!K$6</x:f>
        <x:v>46539</x:v>
      </x:c>
      <x:c r="F119" s="42" t="str">
        <x:f>IF('Drivers'!$D$10="","",'Drivers'!$D$10)</x:f>
        <x:v>Working Draft</x:v>
      </x:c>
      <x:c r="G119" s="42" t="str">
        <x:f>IF('GL Mapping'!I9="",'GL Mapping'!C9,'GL Mapping'!I9)</x:f>
        <x:v>410300</x:v>
      </x:c>
      <x:c r="H119" s="42" t="str">
        <x:v>Other guest fee income</x:v>
      </x:c>
      <x:c r="I119" s="42" t="str">
        <x:f>IF('Drivers'!$D$11="","",'Drivers'!$D$11)</x:f>
        <x:v>Short-Term Rentals</x:v>
      </x:c>
      <x:c r="J119" s="42" t="str">
        <x:f>IF('Drivers'!$D$8="","",'Drivers'!$D$8)</x:f>
        <x:v>USD</x:v>
      </x:c>
      <x:c r="K119" s="42" t="str">
        <x:f>IF('Drivers'!$D$21="","",'Drivers'!$D$21)</x:f>
        <x:v>Calendar</x:v>
      </x:c>
      <x:c r="L119" s="42" t="str">
        <x:f>IF('Drivers'!$D$9="","",'Drivers'!$D$9)</x:f>
        <x:v>Accrual</x:v>
      </x:c>
      <x:c r="M119" s="70" t="str">
        <x:f>IF('Drivers'!$D$12="","",'Drivers'!$D$12)</x:f>
      </x:c>
      <x:c r="N119" s="42" t="str">
        <x:f>IF('Drivers'!$D$15="","",'Drivers'!$D$15)</x:f>
      </x:c>
      <x:c r="O119" s="42" t="str">
        <x:v>income</x:v>
      </x:c>
      <x:c r="P119" s="42" t="str">
        <x:v>above_noi</x:v>
      </x:c>
      <x:c r="Q119" s="42" t="n">
        <x:v>1</x:v>
      </x:c>
      <x:c r="R119" s="51" t="str">
        <x:f>IF(V119="Closed: excluded","",IF(ISNUMBER('STR Build'!K30),'STR Build'!K30,""))</x:f>
      </x:c>
      <x:c r="S119" s="42" t="str">
        <x:v>STR Build!K30</x:v>
      </x:c>
      <x:c r="T119" s="42" t="str">
        <x:v>Formula</x:v>
      </x:c>
      <x:c r="U119" s="67" t="str">
        <x:f>IF(ISNUMBER(R119),IF(R119=0,"Populated zero","Populated"),"Missing")</x:f>
        <x:v>Missing</x:v>
      </x:c>
      <x:c r="V119" s="67" t="str">
        <x:f>IF(AND(ISNUMBER('Drivers'!$D$12),E119&lt;='Drivers'!$D$12),"Closed: excluded","Open forecast")</x:f>
        <x:v>Open forecast</x:v>
      </x:c>
    </x:row>
    <x:row r="120" ht="22" customHeight="1">
      <x:c r="A120" s="42"/>
      <x:c r="B120" s="42"/>
      <x:c r="C120" s="42" t="str">
        <x:f>IF('Drivers'!$D$5="","",'Drivers'!$D$5)</x:f>
      </x:c>
      <x:c r="D120" s="42" t="str">
        <x:f>IF('Drivers'!$D$4="","",'Drivers'!$D$4)</x:f>
      </x:c>
      <x:c r="E120" s="69" t="n">
        <x:f>'STR Build'!K$6</x:f>
        <x:v>46539</x:v>
      </x:c>
      <x:c r="F120" s="42" t="str">
        <x:f>IF('Drivers'!$D$10="","",'Drivers'!$D$10)</x:f>
        <x:v>Working Draft</x:v>
      </x:c>
      <x:c r="G120" s="42" t="str">
        <x:f>IF('GL Mapping'!I10="",'GL Mapping'!C10,'GL Mapping'!I10)</x:f>
        <x:v>419100</x:v>
      </x:c>
      <x:c r="H120" s="42" t="str">
        <x:v>Refunds and discounts</x:v>
      </x:c>
      <x:c r="I120" s="42" t="str">
        <x:f>IF('Drivers'!$D$11="","",'Drivers'!$D$11)</x:f>
        <x:v>Short-Term Rentals</x:v>
      </x:c>
      <x:c r="J120" s="42" t="str">
        <x:f>IF('Drivers'!$D$8="","",'Drivers'!$D$8)</x:f>
        <x:v>USD</x:v>
      </x:c>
      <x:c r="K120" s="42" t="str">
        <x:f>IF('Drivers'!$D$21="","",'Drivers'!$D$21)</x:f>
        <x:v>Calendar</x:v>
      </x:c>
      <x:c r="L120" s="42" t="str">
        <x:f>IF('Drivers'!$D$9="","",'Drivers'!$D$9)</x:f>
        <x:v>Accrual</x:v>
      </x:c>
      <x:c r="M120" s="70" t="str">
        <x:f>IF('Drivers'!$D$12="","",'Drivers'!$D$12)</x:f>
      </x:c>
      <x:c r="N120" s="42" t="str">
        <x:f>IF('Drivers'!$D$15="","",'Drivers'!$D$15)</x:f>
      </x:c>
      <x:c r="O120" s="42" t="str">
        <x:v>contra_income</x:v>
      </x:c>
      <x:c r="P120" s="42" t="str">
        <x:v>above_noi</x:v>
      </x:c>
      <x:c r="Q120" s="42" t="n">
        <x:v>1</x:v>
      </x:c>
      <x:c r="R120" s="51" t="str">
        <x:f>IF(V120="Closed: excluded","",IF(ISNUMBER('STR Build'!K32),'STR Build'!K32,""))</x:f>
      </x:c>
      <x:c r="S120" s="42" t="str">
        <x:v>STR Build!K32</x:v>
      </x:c>
      <x:c r="T120" s="42" t="str">
        <x:v>Formula</x:v>
      </x:c>
      <x:c r="U120" s="67" t="str">
        <x:f>IF(ISNUMBER(R120),IF(R120=0,"Populated zero","Populated"),"Missing")</x:f>
        <x:v>Missing</x:v>
      </x:c>
      <x:c r="V120" s="67" t="str">
        <x:f>IF(AND(ISNUMBER('Drivers'!$D$12),E120&lt;='Drivers'!$D$12),"Closed: excluded","Open forecast")</x:f>
        <x:v>Open forecast</x:v>
      </x:c>
    </x:row>
    <x:row r="121" ht="22" customHeight="1">
      <x:c r="A121" s="42"/>
      <x:c r="B121" s="42"/>
      <x:c r="C121" s="42" t="str">
        <x:f>IF('Drivers'!$D$5="","",'Drivers'!$D$5)</x:f>
      </x:c>
      <x:c r="D121" s="42" t="str">
        <x:f>IF('Drivers'!$D$4="","",'Drivers'!$D$4)</x:f>
      </x:c>
      <x:c r="E121" s="69" t="n">
        <x:f>'STR Build'!K$6</x:f>
        <x:v>46539</x:v>
      </x:c>
      <x:c r="F121" s="42" t="str">
        <x:f>IF('Drivers'!$D$10="","",'Drivers'!$D$10)</x:f>
        <x:v>Working Draft</x:v>
      </x:c>
      <x:c r="G121" s="42" t="str">
        <x:f>IF('GL Mapping'!I11="",'GL Mapping'!C11,'GL Mapping'!I11)</x:f>
        <x:v>419200</x:v>
      </x:c>
      <x:c r="H121" s="42" t="str">
        <x:v>Bad debt</x:v>
      </x:c>
      <x:c r="I121" s="42" t="str">
        <x:f>IF('Drivers'!$D$11="","",'Drivers'!$D$11)</x:f>
        <x:v>Short-Term Rentals</x:v>
      </x:c>
      <x:c r="J121" s="42" t="str">
        <x:f>IF('Drivers'!$D$8="","",'Drivers'!$D$8)</x:f>
        <x:v>USD</x:v>
      </x:c>
      <x:c r="K121" s="42" t="str">
        <x:f>IF('Drivers'!$D$21="","",'Drivers'!$D$21)</x:f>
        <x:v>Calendar</x:v>
      </x:c>
      <x:c r="L121" s="42" t="str">
        <x:f>IF('Drivers'!$D$9="","",'Drivers'!$D$9)</x:f>
        <x:v>Accrual</x:v>
      </x:c>
      <x:c r="M121" s="70" t="str">
        <x:f>IF('Drivers'!$D$12="","",'Drivers'!$D$12)</x:f>
      </x:c>
      <x:c r="N121" s="42" t="str">
        <x:f>IF('Drivers'!$D$15="","",'Drivers'!$D$15)</x:f>
      </x:c>
      <x:c r="O121" s="42" t="str">
        <x:v>contra_income</x:v>
      </x:c>
      <x:c r="P121" s="42" t="str">
        <x:v>above_noi</x:v>
      </x:c>
      <x:c r="Q121" s="42" t="n">
        <x:v>1</x:v>
      </x:c>
      <x:c r="R121" s="51" t="str">
        <x:f>IF(V121="Closed: excluded","",IF(ISNUMBER('STR Build'!K33),'STR Build'!K33,""))</x:f>
      </x:c>
      <x:c r="S121" s="42" t="str">
        <x:v>STR Build!K33</x:v>
      </x:c>
      <x:c r="T121" s="42" t="str">
        <x:v>Formula</x:v>
      </x:c>
      <x:c r="U121" s="67" t="str">
        <x:f>IF(ISNUMBER(R121),IF(R121=0,"Populated zero","Populated"),"Missing")</x:f>
        <x:v>Missing</x:v>
      </x:c>
      <x:c r="V121" s="67" t="str">
        <x:f>IF(AND(ISNUMBER('Drivers'!$D$12),E121&lt;='Drivers'!$D$12),"Closed: excluded","Open forecast")</x:f>
        <x:v>Open forecast</x:v>
      </x:c>
    </x:row>
    <x:row r="122" ht="22" customHeight="1">
      <x:c r="A122" s="42"/>
      <x:c r="B122" s="42"/>
      <x:c r="C122" s="42" t="str">
        <x:f>IF('Drivers'!$D$5="","",'Drivers'!$D$5)</x:f>
      </x:c>
      <x:c r="D122" s="42" t="str">
        <x:f>IF('Drivers'!$D$4="","",'Drivers'!$D$4)</x:f>
      </x:c>
      <x:c r="E122" s="69" t="n">
        <x:f>'STR Build'!K$6</x:f>
        <x:v>46539</x:v>
      </x:c>
      <x:c r="F122" s="42" t="str">
        <x:f>IF('Drivers'!$D$10="","",'Drivers'!$D$10)</x:f>
        <x:v>Working Draft</x:v>
      </x:c>
      <x:c r="G122" s="42" t="str">
        <x:f>IF('GL Mapping'!I12="",'GL Mapping'!C12,'GL Mapping'!I12)</x:f>
        <x:v>610100</x:v>
      </x:c>
      <x:c r="H122" s="42" t="str">
        <x:v>Channel commissions</x:v>
      </x:c>
      <x:c r="I122" s="42" t="str">
        <x:f>IF('Drivers'!$D$11="","",'Drivers'!$D$11)</x:f>
        <x:v>Short-Term Rentals</x:v>
      </x:c>
      <x:c r="J122" s="42" t="str">
        <x:f>IF('Drivers'!$D$8="","",'Drivers'!$D$8)</x:f>
        <x:v>USD</x:v>
      </x:c>
      <x:c r="K122" s="42" t="str">
        <x:f>IF('Drivers'!$D$21="","",'Drivers'!$D$21)</x:f>
        <x:v>Calendar</x:v>
      </x:c>
      <x:c r="L122" s="42" t="str">
        <x:f>IF('Drivers'!$D$9="","",'Drivers'!$D$9)</x:f>
        <x:v>Accrual</x:v>
      </x:c>
      <x:c r="M122" s="70" t="str">
        <x:f>IF('Drivers'!$D$12="","",'Drivers'!$D$12)</x:f>
      </x:c>
      <x:c r="N122" s="42" t="str">
        <x:f>IF('Drivers'!$D$15="","",'Drivers'!$D$15)</x:f>
      </x:c>
      <x:c r="O122" s="42" t="str">
        <x:v>expense</x:v>
      </x:c>
      <x:c r="P122" s="42" t="str">
        <x:v>above_noi</x:v>
      </x:c>
      <x:c r="Q122" s="42" t="n">
        <x:v>1</x:v>
      </x:c>
      <x:c r="R122" s="51" t="str">
        <x:f>IF(V122="Closed: excluded","",IF(ISNUMBER('STR Build'!K36),'STR Build'!K36,""))</x:f>
      </x:c>
      <x:c r="S122" s="42" t="str">
        <x:v>STR Build!K36</x:v>
      </x:c>
      <x:c r="T122" s="42" t="str">
        <x:v>Formula</x:v>
      </x:c>
      <x:c r="U122" s="67" t="str">
        <x:f>IF(ISNUMBER(R122),IF(R122=0,"Populated zero","Populated"),"Missing")</x:f>
        <x:v>Missing</x:v>
      </x:c>
      <x:c r="V122" s="67" t="str">
        <x:f>IF(AND(ISNUMBER('Drivers'!$D$12),E122&lt;='Drivers'!$D$12),"Closed: excluded","Open forecast")</x:f>
        <x:v>Open forecast</x:v>
      </x:c>
    </x:row>
    <x:row r="123" ht="22" customHeight="1">
      <x:c r="A123" s="42"/>
      <x:c r="B123" s="42"/>
      <x:c r="C123" s="42" t="str">
        <x:f>IF('Drivers'!$D$5="","",'Drivers'!$D$5)</x:f>
      </x:c>
      <x:c r="D123" s="42" t="str">
        <x:f>IF('Drivers'!$D$4="","",'Drivers'!$D$4)</x:f>
      </x:c>
      <x:c r="E123" s="69" t="n">
        <x:f>'STR Build'!K$6</x:f>
        <x:v>46539</x:v>
      </x:c>
      <x:c r="F123" s="42" t="str">
        <x:f>IF('Drivers'!$D$10="","",'Drivers'!$D$10)</x:f>
        <x:v>Working Draft</x:v>
      </x:c>
      <x:c r="G123" s="42" t="str">
        <x:f>IF('GL Mapping'!I13="",'GL Mapping'!C13,'GL Mapping'!I13)</x:f>
        <x:v>610200</x:v>
      </x:c>
      <x:c r="H123" s="42" t="str">
        <x:v>Cleaning expense</x:v>
      </x:c>
      <x:c r="I123" s="42" t="str">
        <x:f>IF('Drivers'!$D$11="","",'Drivers'!$D$11)</x:f>
        <x:v>Short-Term Rentals</x:v>
      </x:c>
      <x:c r="J123" s="42" t="str">
        <x:f>IF('Drivers'!$D$8="","",'Drivers'!$D$8)</x:f>
        <x:v>USD</x:v>
      </x:c>
      <x:c r="K123" s="42" t="str">
        <x:f>IF('Drivers'!$D$21="","",'Drivers'!$D$21)</x:f>
        <x:v>Calendar</x:v>
      </x:c>
      <x:c r="L123" s="42" t="str">
        <x:f>IF('Drivers'!$D$9="","",'Drivers'!$D$9)</x:f>
        <x:v>Accrual</x:v>
      </x:c>
      <x:c r="M123" s="70" t="str">
        <x:f>IF('Drivers'!$D$12="","",'Drivers'!$D$12)</x:f>
      </x:c>
      <x:c r="N123" s="42" t="str">
        <x:f>IF('Drivers'!$D$15="","",'Drivers'!$D$15)</x:f>
      </x:c>
      <x:c r="O123" s="42" t="str">
        <x:v>expense</x:v>
      </x:c>
      <x:c r="P123" s="42" t="str">
        <x:v>above_noi</x:v>
      </x:c>
      <x:c r="Q123" s="42" t="n">
        <x:v>1</x:v>
      </x:c>
      <x:c r="R123" s="51" t="str">
        <x:f>IF(V123="Closed: excluded","",IF(ISNUMBER('STR Build'!K37),'STR Build'!K37,""))</x:f>
      </x:c>
      <x:c r="S123" s="42" t="str">
        <x:v>STR Build!K37</x:v>
      </x:c>
      <x:c r="T123" s="42" t="str">
        <x:v>Formula</x:v>
      </x:c>
      <x:c r="U123" s="67" t="str">
        <x:f>IF(ISNUMBER(R123),IF(R123=0,"Populated zero","Populated"),"Missing")</x:f>
        <x:v>Missing</x:v>
      </x:c>
      <x:c r="V123" s="67" t="str">
        <x:f>IF(AND(ISNUMBER('Drivers'!$D$12),E123&lt;='Drivers'!$D$12),"Closed: excluded","Open forecast")</x:f>
        <x:v>Open forecast</x:v>
      </x:c>
    </x:row>
    <x:row r="124" ht="22" customHeight="1">
      <x:c r="A124" s="42"/>
      <x:c r="B124" s="42"/>
      <x:c r="C124" s="42" t="str">
        <x:f>IF('Drivers'!$D$5="","",'Drivers'!$D$5)</x:f>
      </x:c>
      <x:c r="D124" s="42" t="str">
        <x:f>IF('Drivers'!$D$4="","",'Drivers'!$D$4)</x:f>
      </x:c>
      <x:c r="E124" s="69" t="n">
        <x:f>'STR Build'!K$6</x:f>
        <x:v>46539</x:v>
      </x:c>
      <x:c r="F124" s="42" t="str">
        <x:f>IF('Drivers'!$D$10="","",'Drivers'!$D$10)</x:f>
        <x:v>Working Draft</x:v>
      </x:c>
      <x:c r="G124" s="42" t="str">
        <x:f>IF('GL Mapping'!I14="",'GL Mapping'!C14,'GL Mapping'!I14)</x:f>
        <x:v>610300</x:v>
      </x:c>
      <x:c r="H124" s="42" t="str">
        <x:v>Property-borne lodging tax</x:v>
      </x:c>
      <x:c r="I124" s="42" t="str">
        <x:f>IF('Drivers'!$D$11="","",'Drivers'!$D$11)</x:f>
        <x:v>Short-Term Rentals</x:v>
      </x:c>
      <x:c r="J124" s="42" t="str">
        <x:f>IF('Drivers'!$D$8="","",'Drivers'!$D$8)</x:f>
        <x:v>USD</x:v>
      </x:c>
      <x:c r="K124" s="42" t="str">
        <x:f>IF('Drivers'!$D$21="","",'Drivers'!$D$21)</x:f>
        <x:v>Calendar</x:v>
      </x:c>
      <x:c r="L124" s="42" t="str">
        <x:f>IF('Drivers'!$D$9="","",'Drivers'!$D$9)</x:f>
        <x:v>Accrual</x:v>
      </x:c>
      <x:c r="M124" s="70" t="str">
        <x:f>IF('Drivers'!$D$12="","",'Drivers'!$D$12)</x:f>
      </x:c>
      <x:c r="N124" s="42" t="str">
        <x:f>IF('Drivers'!$D$15="","",'Drivers'!$D$15)</x:f>
      </x:c>
      <x:c r="O124" s="42" t="str">
        <x:v>expense</x:v>
      </x:c>
      <x:c r="P124" s="42" t="str">
        <x:v>above_noi</x:v>
      </x:c>
      <x:c r="Q124" s="42" t="n">
        <x:v>1</x:v>
      </x:c>
      <x:c r="R124" s="51" t="str">
        <x:f>IF(V124="Closed: excluded","",IF(ISNUMBER('STR Build'!K38),'STR Build'!K38,""))</x:f>
      </x:c>
      <x:c r="S124" s="42" t="str">
        <x:v>STR Build!K38</x:v>
      </x:c>
      <x:c r="T124" s="42" t="str">
        <x:v>Formula</x:v>
      </x:c>
      <x:c r="U124" s="67" t="str">
        <x:f>IF(ISNUMBER(R124),IF(R124=0,"Populated zero","Populated"),"Missing")</x:f>
        <x:v>Missing</x:v>
      </x:c>
      <x:c r="V124" s="67" t="str">
        <x:f>IF(AND(ISNUMBER('Drivers'!$D$12),E124&lt;='Drivers'!$D$12),"Closed: excluded","Open forecast")</x:f>
        <x:v>Open forecast</x:v>
      </x:c>
    </x:row>
    <x:row r="125" ht="22" customHeight="1">
      <x:c r="A125" s="42"/>
      <x:c r="B125" s="42"/>
      <x:c r="C125" s="42" t="str">
        <x:f>IF('Drivers'!$D$5="","",'Drivers'!$D$5)</x:f>
      </x:c>
      <x:c r="D125" s="42" t="str">
        <x:f>IF('Drivers'!$D$4="","",'Drivers'!$D$4)</x:f>
      </x:c>
      <x:c r="E125" s="69" t="n">
        <x:f>'STR Build'!K$6</x:f>
        <x:v>46539</x:v>
      </x:c>
      <x:c r="F125" s="42" t="str">
        <x:f>IF('Drivers'!$D$10="","",'Drivers'!$D$10)</x:f>
        <x:v>Working Draft</x:v>
      </x:c>
      <x:c r="G125" s="42" t="str">
        <x:f>IF('GL Mapping'!I15="",'GL Mapping'!C15,'GL Mapping'!I15)</x:f>
        <x:v>610400</x:v>
      </x:c>
      <x:c r="H125" s="42" t="str">
        <x:v>Supplies</x:v>
      </x:c>
      <x:c r="I125" s="42" t="str">
        <x:f>IF('Drivers'!$D$11="","",'Drivers'!$D$11)</x:f>
        <x:v>Short-Term Rentals</x:v>
      </x:c>
      <x:c r="J125" s="42" t="str">
        <x:f>IF('Drivers'!$D$8="","",'Drivers'!$D$8)</x:f>
        <x:v>USD</x:v>
      </x:c>
      <x:c r="K125" s="42" t="str">
        <x:f>IF('Drivers'!$D$21="","",'Drivers'!$D$21)</x:f>
        <x:v>Calendar</x:v>
      </x:c>
      <x:c r="L125" s="42" t="str">
        <x:f>IF('Drivers'!$D$9="","",'Drivers'!$D$9)</x:f>
        <x:v>Accrual</x:v>
      </x:c>
      <x:c r="M125" s="70" t="str">
        <x:f>IF('Drivers'!$D$12="","",'Drivers'!$D$12)</x:f>
      </x:c>
      <x:c r="N125" s="42" t="str">
        <x:f>IF('Drivers'!$D$15="","",'Drivers'!$D$15)</x:f>
      </x:c>
      <x:c r="O125" s="42" t="str">
        <x:v>expense</x:v>
      </x:c>
      <x:c r="P125" s="42" t="str">
        <x:v>above_noi</x:v>
      </x:c>
      <x:c r="Q125" s="42" t="n">
        <x:v>1</x:v>
      </x:c>
      <x:c r="R125" s="51" t="str">
        <x:f>IF(V125="Closed: excluded","",IF(ISNUMBER('STR Build'!K39),'STR Build'!K39,""))</x:f>
      </x:c>
      <x:c r="S125" s="42" t="str">
        <x:v>STR Build!K39</x:v>
      </x:c>
      <x:c r="T125" s="42" t="str">
        <x:v>Formula</x:v>
      </x:c>
      <x:c r="U125" s="67" t="str">
        <x:f>IF(ISNUMBER(R125),IF(R125=0,"Populated zero","Populated"),"Missing")</x:f>
        <x:v>Missing</x:v>
      </x:c>
      <x:c r="V125" s="67" t="str">
        <x:f>IF(AND(ISNUMBER('Drivers'!$D$12),E125&lt;='Drivers'!$D$12),"Closed: excluded","Open forecast")</x:f>
        <x:v>Open forecast</x:v>
      </x:c>
    </x:row>
    <x:row r="126" ht="22" customHeight="1">
      <x:c r="A126" s="42"/>
      <x:c r="B126" s="42"/>
      <x:c r="C126" s="42" t="str">
        <x:f>IF('Drivers'!$D$5="","",'Drivers'!$D$5)</x:f>
      </x:c>
      <x:c r="D126" s="42" t="str">
        <x:f>IF('Drivers'!$D$4="","",'Drivers'!$D$4)</x:f>
      </x:c>
      <x:c r="E126" s="69" t="n">
        <x:f>'STR Build'!K$6</x:f>
        <x:v>46539</x:v>
      </x:c>
      <x:c r="F126" s="42" t="str">
        <x:f>IF('Drivers'!$D$10="","",'Drivers'!$D$10)</x:f>
        <x:v>Working Draft</x:v>
      </x:c>
      <x:c r="G126" s="42" t="str">
        <x:f>IF('GL Mapping'!I16="",'GL Mapping'!C16,'GL Mapping'!I16)</x:f>
        <x:v>620100</x:v>
      </x:c>
      <x:c r="H126" s="42" t="str">
        <x:v>Payroll</x:v>
      </x:c>
      <x:c r="I126" s="42" t="str">
        <x:f>IF('Drivers'!$D$11="","",'Drivers'!$D$11)</x:f>
        <x:v>Short-Term Rentals</x:v>
      </x:c>
      <x:c r="J126" s="42" t="str">
        <x:f>IF('Drivers'!$D$8="","",'Drivers'!$D$8)</x:f>
        <x:v>USD</x:v>
      </x:c>
      <x:c r="K126" s="42" t="str">
        <x:f>IF('Drivers'!$D$21="","",'Drivers'!$D$21)</x:f>
        <x:v>Calendar</x:v>
      </x:c>
      <x:c r="L126" s="42" t="str">
        <x:f>IF('Drivers'!$D$9="","",'Drivers'!$D$9)</x:f>
        <x:v>Accrual</x:v>
      </x:c>
      <x:c r="M126" s="70" t="str">
        <x:f>IF('Drivers'!$D$12="","",'Drivers'!$D$12)</x:f>
      </x:c>
      <x:c r="N126" s="42" t="str">
        <x:f>IF('Drivers'!$D$15="","",'Drivers'!$D$15)</x:f>
      </x:c>
      <x:c r="O126" s="42" t="str">
        <x:v>expense</x:v>
      </x:c>
      <x:c r="P126" s="42" t="str">
        <x:v>above_noi</x:v>
      </x:c>
      <x:c r="Q126" s="42" t="n">
        <x:v>1</x:v>
      </x:c>
      <x:c r="R126" s="51" t="str">
        <x:f>IF(V126="Closed: excluded","",IF(ISNUMBER('STR Build'!K40),'STR Build'!K40,""))</x:f>
      </x:c>
      <x:c r="S126" s="42" t="str">
        <x:v>STR Build!K40</x:v>
      </x:c>
      <x:c r="T126" s="42" t="str">
        <x:v>Formula</x:v>
      </x:c>
      <x:c r="U126" s="67" t="str">
        <x:f>IF(ISNUMBER(R126),IF(R126=0,"Populated zero","Populated"),"Missing")</x:f>
        <x:v>Missing</x:v>
      </x:c>
      <x:c r="V126" s="67" t="str">
        <x:f>IF(AND(ISNUMBER('Drivers'!$D$12),E126&lt;='Drivers'!$D$12),"Closed: excluded","Open forecast")</x:f>
        <x:v>Open forecast</x:v>
      </x:c>
    </x:row>
    <x:row r="127" ht="22" customHeight="1">
      <x:c r="A127" s="42"/>
      <x:c r="B127" s="42"/>
      <x:c r="C127" s="42" t="str">
        <x:f>IF('Drivers'!$D$5="","",'Drivers'!$D$5)</x:f>
      </x:c>
      <x:c r="D127" s="42" t="str">
        <x:f>IF('Drivers'!$D$4="","",'Drivers'!$D$4)</x:f>
      </x:c>
      <x:c r="E127" s="69" t="n">
        <x:f>'STR Build'!K$6</x:f>
        <x:v>46539</x:v>
      </x:c>
      <x:c r="F127" s="42" t="str">
        <x:f>IF('Drivers'!$D$10="","",'Drivers'!$D$10)</x:f>
        <x:v>Working Draft</x:v>
      </x:c>
      <x:c r="G127" s="42" t="str">
        <x:f>IF('GL Mapping'!I17="",'GL Mapping'!C17,'GL Mapping'!I17)</x:f>
        <x:v>630100</x:v>
      </x:c>
      <x:c r="H127" s="42" t="str">
        <x:v>Utilities</x:v>
      </x:c>
      <x:c r="I127" s="42" t="str">
        <x:f>IF('Drivers'!$D$11="","",'Drivers'!$D$11)</x:f>
        <x:v>Short-Term Rentals</x:v>
      </x:c>
      <x:c r="J127" s="42" t="str">
        <x:f>IF('Drivers'!$D$8="","",'Drivers'!$D$8)</x:f>
        <x:v>USD</x:v>
      </x:c>
      <x:c r="K127" s="42" t="str">
        <x:f>IF('Drivers'!$D$21="","",'Drivers'!$D$21)</x:f>
        <x:v>Calendar</x:v>
      </x:c>
      <x:c r="L127" s="42" t="str">
        <x:f>IF('Drivers'!$D$9="","",'Drivers'!$D$9)</x:f>
        <x:v>Accrual</x:v>
      </x:c>
      <x:c r="M127" s="70" t="str">
        <x:f>IF('Drivers'!$D$12="","",'Drivers'!$D$12)</x:f>
      </x:c>
      <x:c r="N127" s="42" t="str">
        <x:f>IF('Drivers'!$D$15="","",'Drivers'!$D$15)</x:f>
      </x:c>
      <x:c r="O127" s="42" t="str">
        <x:v>expense</x:v>
      </x:c>
      <x:c r="P127" s="42" t="str">
        <x:v>above_noi</x:v>
      </x:c>
      <x:c r="Q127" s="42" t="n">
        <x:v>1</x:v>
      </x:c>
      <x:c r="R127" s="51" t="str">
        <x:f>IF(V127="Closed: excluded","",IF(ISNUMBER('STR Build'!K41),'STR Build'!K41,""))</x:f>
      </x:c>
      <x:c r="S127" s="42" t="str">
        <x:v>STR Build!K41</x:v>
      </x:c>
      <x:c r="T127" s="42" t="str">
        <x:v>Formula</x:v>
      </x:c>
      <x:c r="U127" s="67" t="str">
        <x:f>IF(ISNUMBER(R127),IF(R127=0,"Populated zero","Populated"),"Missing")</x:f>
        <x:v>Missing</x:v>
      </x:c>
      <x:c r="V127" s="67" t="str">
        <x:f>IF(AND(ISNUMBER('Drivers'!$D$12),E127&lt;='Drivers'!$D$12),"Closed: excluded","Open forecast")</x:f>
        <x:v>Open forecast</x:v>
      </x:c>
    </x:row>
    <x:row r="128" ht="22" customHeight="1">
      <x:c r="A128" s="42"/>
      <x:c r="B128" s="42"/>
      <x:c r="C128" s="42" t="str">
        <x:f>IF('Drivers'!$D$5="","",'Drivers'!$D$5)</x:f>
      </x:c>
      <x:c r="D128" s="42" t="str">
        <x:f>IF('Drivers'!$D$4="","",'Drivers'!$D$4)</x:f>
      </x:c>
      <x:c r="E128" s="69" t="n">
        <x:f>'STR Build'!K$6</x:f>
        <x:v>46539</x:v>
      </x:c>
      <x:c r="F128" s="42" t="str">
        <x:f>IF('Drivers'!$D$10="","",'Drivers'!$D$10)</x:f>
        <x:v>Working Draft</x:v>
      </x:c>
      <x:c r="G128" s="42" t="str">
        <x:f>IF('GL Mapping'!I18="",'GL Mapping'!C18,'GL Mapping'!I18)</x:f>
        <x:v>640100</x:v>
      </x:c>
      <x:c r="H128" s="42" t="str">
        <x:v>Contracts</x:v>
      </x:c>
      <x:c r="I128" s="42" t="str">
        <x:f>IF('Drivers'!$D$11="","",'Drivers'!$D$11)</x:f>
        <x:v>Short-Term Rentals</x:v>
      </x:c>
      <x:c r="J128" s="42" t="str">
        <x:f>IF('Drivers'!$D$8="","",'Drivers'!$D$8)</x:f>
        <x:v>USD</x:v>
      </x:c>
      <x:c r="K128" s="42" t="str">
        <x:f>IF('Drivers'!$D$21="","",'Drivers'!$D$21)</x:f>
        <x:v>Calendar</x:v>
      </x:c>
      <x:c r="L128" s="42" t="str">
        <x:f>IF('Drivers'!$D$9="","",'Drivers'!$D$9)</x:f>
        <x:v>Accrual</x:v>
      </x:c>
      <x:c r="M128" s="70" t="str">
        <x:f>IF('Drivers'!$D$12="","",'Drivers'!$D$12)</x:f>
      </x:c>
      <x:c r="N128" s="42" t="str">
        <x:f>IF('Drivers'!$D$15="","",'Drivers'!$D$15)</x:f>
      </x:c>
      <x:c r="O128" s="42" t="str">
        <x:v>expense</x:v>
      </x:c>
      <x:c r="P128" s="42" t="str">
        <x:v>above_noi</x:v>
      </x:c>
      <x:c r="Q128" s="42" t="n">
        <x:v>1</x:v>
      </x:c>
      <x:c r="R128" s="51" t="str">
        <x:f>IF(V128="Closed: excluded","",IF(ISNUMBER('STR Build'!K42),'STR Build'!K42,""))</x:f>
      </x:c>
      <x:c r="S128" s="42" t="str">
        <x:v>STR Build!K42</x:v>
      </x:c>
      <x:c r="T128" s="42" t="str">
        <x:v>Formula</x:v>
      </x:c>
      <x:c r="U128" s="67" t="str">
        <x:f>IF(ISNUMBER(R128),IF(R128=0,"Populated zero","Populated"),"Missing")</x:f>
        <x:v>Missing</x:v>
      </x:c>
      <x:c r="V128" s="67" t="str">
        <x:f>IF(AND(ISNUMBER('Drivers'!$D$12),E128&lt;='Drivers'!$D$12),"Closed: excluded","Open forecast")</x:f>
        <x:v>Open forecast</x:v>
      </x:c>
    </x:row>
    <x:row r="129" ht="22" customHeight="1">
      <x:c r="A129" s="42"/>
      <x:c r="B129" s="42"/>
      <x:c r="C129" s="42" t="str">
        <x:f>IF('Drivers'!$D$5="","",'Drivers'!$D$5)</x:f>
      </x:c>
      <x:c r="D129" s="42" t="str">
        <x:f>IF('Drivers'!$D$4="","",'Drivers'!$D$4)</x:f>
      </x:c>
      <x:c r="E129" s="69" t="n">
        <x:f>'STR Build'!K$6</x:f>
        <x:v>46539</x:v>
      </x:c>
      <x:c r="F129" s="42" t="str">
        <x:f>IF('Drivers'!$D$10="","",'Drivers'!$D$10)</x:f>
        <x:v>Working Draft</x:v>
      </x:c>
      <x:c r="G129" s="42" t="str">
        <x:f>IF('GL Mapping'!I19="",'GL Mapping'!C19,'GL Mapping'!I19)</x:f>
        <x:v>650100</x:v>
      </x:c>
      <x:c r="H129" s="42" t="str">
        <x:v>Marketing</x:v>
      </x:c>
      <x:c r="I129" s="42" t="str">
        <x:f>IF('Drivers'!$D$11="","",'Drivers'!$D$11)</x:f>
        <x:v>Short-Term Rentals</x:v>
      </x:c>
      <x:c r="J129" s="42" t="str">
        <x:f>IF('Drivers'!$D$8="","",'Drivers'!$D$8)</x:f>
        <x:v>USD</x:v>
      </x:c>
      <x:c r="K129" s="42" t="str">
        <x:f>IF('Drivers'!$D$21="","",'Drivers'!$D$21)</x:f>
        <x:v>Calendar</x:v>
      </x:c>
      <x:c r="L129" s="42" t="str">
        <x:f>IF('Drivers'!$D$9="","",'Drivers'!$D$9)</x:f>
        <x:v>Accrual</x:v>
      </x:c>
      <x:c r="M129" s="70" t="str">
        <x:f>IF('Drivers'!$D$12="","",'Drivers'!$D$12)</x:f>
      </x:c>
      <x:c r="N129" s="42" t="str">
        <x:f>IF('Drivers'!$D$15="","",'Drivers'!$D$15)</x:f>
      </x:c>
      <x:c r="O129" s="42" t="str">
        <x:v>expense</x:v>
      </x:c>
      <x:c r="P129" s="42" t="str">
        <x:v>above_noi</x:v>
      </x:c>
      <x:c r="Q129" s="42" t="n">
        <x:v>1</x:v>
      </x:c>
      <x:c r="R129" s="51" t="str">
        <x:f>IF(V129="Closed: excluded","",IF(ISNUMBER('STR Build'!K43),'STR Build'!K43,""))</x:f>
      </x:c>
      <x:c r="S129" s="42" t="str">
        <x:v>STR Build!K43</x:v>
      </x:c>
      <x:c r="T129" s="42" t="str">
        <x:v>Formula</x:v>
      </x:c>
      <x:c r="U129" s="67" t="str">
        <x:f>IF(ISNUMBER(R129),IF(R129=0,"Populated zero","Populated"),"Missing")</x:f>
        <x:v>Missing</x:v>
      </x:c>
      <x:c r="V129" s="67" t="str">
        <x:f>IF(AND(ISNUMBER('Drivers'!$D$12),E129&lt;='Drivers'!$D$12),"Closed: excluded","Open forecast")</x:f>
        <x:v>Open forecast</x:v>
      </x:c>
    </x:row>
    <x:row r="130" ht="22" customHeight="1">
      <x:c r="A130" s="42"/>
      <x:c r="B130" s="42"/>
      <x:c r="C130" s="42" t="str">
        <x:f>IF('Drivers'!$D$5="","",'Drivers'!$D$5)</x:f>
      </x:c>
      <x:c r="D130" s="42" t="str">
        <x:f>IF('Drivers'!$D$4="","",'Drivers'!$D$4)</x:f>
      </x:c>
      <x:c r="E130" s="69" t="n">
        <x:f>'STR Build'!K$6</x:f>
        <x:v>46539</x:v>
      </x:c>
      <x:c r="F130" s="42" t="str">
        <x:f>IF('Drivers'!$D$10="","",'Drivers'!$D$10)</x:f>
        <x:v>Working Draft</x:v>
      </x:c>
      <x:c r="G130" s="42" t="str">
        <x:f>IF('GL Mapping'!I20="",'GL Mapping'!C20,'GL Mapping'!I20)</x:f>
        <x:v>660100</x:v>
      </x:c>
      <x:c r="H130" s="42" t="str">
        <x:v>Maintenance</x:v>
      </x:c>
      <x:c r="I130" s="42" t="str">
        <x:f>IF('Drivers'!$D$11="","",'Drivers'!$D$11)</x:f>
        <x:v>Short-Term Rentals</x:v>
      </x:c>
      <x:c r="J130" s="42" t="str">
        <x:f>IF('Drivers'!$D$8="","",'Drivers'!$D$8)</x:f>
        <x:v>USD</x:v>
      </x:c>
      <x:c r="K130" s="42" t="str">
        <x:f>IF('Drivers'!$D$21="","",'Drivers'!$D$21)</x:f>
        <x:v>Calendar</x:v>
      </x:c>
      <x:c r="L130" s="42" t="str">
        <x:f>IF('Drivers'!$D$9="","",'Drivers'!$D$9)</x:f>
        <x:v>Accrual</x:v>
      </x:c>
      <x:c r="M130" s="70" t="str">
        <x:f>IF('Drivers'!$D$12="","",'Drivers'!$D$12)</x:f>
      </x:c>
      <x:c r="N130" s="42" t="str">
        <x:f>IF('Drivers'!$D$15="","",'Drivers'!$D$15)</x:f>
      </x:c>
      <x:c r="O130" s="42" t="str">
        <x:v>expense</x:v>
      </x:c>
      <x:c r="P130" s="42" t="str">
        <x:v>above_noi</x:v>
      </x:c>
      <x:c r="Q130" s="42" t="n">
        <x:v>1</x:v>
      </x:c>
      <x:c r="R130" s="51" t="str">
        <x:f>IF(V130="Closed: excluded","",IF(ISNUMBER('STR Build'!K44),'STR Build'!K44,""))</x:f>
      </x:c>
      <x:c r="S130" s="42" t="str">
        <x:v>STR Build!K44</x:v>
      </x:c>
      <x:c r="T130" s="42" t="str">
        <x:v>Formula</x:v>
      </x:c>
      <x:c r="U130" s="67" t="str">
        <x:f>IF(ISNUMBER(R130),IF(R130=0,"Populated zero","Populated"),"Missing")</x:f>
        <x:v>Missing</x:v>
      </x:c>
      <x:c r="V130" s="67" t="str">
        <x:f>IF(AND(ISNUMBER('Drivers'!$D$12),E130&lt;='Drivers'!$D$12),"Closed: excluded","Open forecast")</x:f>
        <x:v>Open forecast</x:v>
      </x:c>
    </x:row>
    <x:row r="131" ht="22" customHeight="1">
      <x:c r="A131" s="42"/>
      <x:c r="B131" s="42"/>
      <x:c r="C131" s="42" t="str">
        <x:f>IF('Drivers'!$D$5="","",'Drivers'!$D$5)</x:f>
      </x:c>
      <x:c r="D131" s="42" t="str">
        <x:f>IF('Drivers'!$D$4="","",'Drivers'!$D$4)</x:f>
      </x:c>
      <x:c r="E131" s="69" t="n">
        <x:f>'STR Build'!K$6</x:f>
        <x:v>46539</x:v>
      </x:c>
      <x:c r="F131" s="42" t="str">
        <x:f>IF('Drivers'!$D$10="","",'Drivers'!$D$10)</x:f>
        <x:v>Working Draft</x:v>
      </x:c>
      <x:c r="G131" s="42" t="str">
        <x:f>IF('GL Mapping'!I21="",'GL Mapping'!C21,'GL Mapping'!I21)</x:f>
        <x:v>670100</x:v>
      </x:c>
      <x:c r="H131" s="42" t="str">
        <x:v>Insurance</x:v>
      </x:c>
      <x:c r="I131" s="42" t="str">
        <x:f>IF('Drivers'!$D$11="","",'Drivers'!$D$11)</x:f>
        <x:v>Short-Term Rentals</x:v>
      </x:c>
      <x:c r="J131" s="42" t="str">
        <x:f>IF('Drivers'!$D$8="","",'Drivers'!$D$8)</x:f>
        <x:v>USD</x:v>
      </x:c>
      <x:c r="K131" s="42" t="str">
        <x:f>IF('Drivers'!$D$21="","",'Drivers'!$D$21)</x:f>
        <x:v>Calendar</x:v>
      </x:c>
      <x:c r="L131" s="42" t="str">
        <x:f>IF('Drivers'!$D$9="","",'Drivers'!$D$9)</x:f>
        <x:v>Accrual</x:v>
      </x:c>
      <x:c r="M131" s="70" t="str">
        <x:f>IF('Drivers'!$D$12="","",'Drivers'!$D$12)</x:f>
      </x:c>
      <x:c r="N131" s="42" t="str">
        <x:f>IF('Drivers'!$D$15="","",'Drivers'!$D$15)</x:f>
      </x:c>
      <x:c r="O131" s="42" t="str">
        <x:v>expense</x:v>
      </x:c>
      <x:c r="P131" s="42" t="str">
        <x:v>above_noi</x:v>
      </x:c>
      <x:c r="Q131" s="42" t="n">
        <x:v>1</x:v>
      </x:c>
      <x:c r="R131" s="51" t="str">
        <x:f>IF(V131="Closed: excluded","",IF(ISNUMBER('STR Build'!K45),'STR Build'!K45,""))</x:f>
      </x:c>
      <x:c r="S131" s="42" t="str">
        <x:v>STR Build!K45</x:v>
      </x:c>
      <x:c r="T131" s="42" t="str">
        <x:v>Formula</x:v>
      </x:c>
      <x:c r="U131" s="67" t="str">
        <x:f>IF(ISNUMBER(R131),IF(R131=0,"Populated zero","Populated"),"Missing")</x:f>
        <x:v>Missing</x:v>
      </x:c>
      <x:c r="V131" s="67" t="str">
        <x:f>IF(AND(ISNUMBER('Drivers'!$D$12),E131&lt;='Drivers'!$D$12),"Closed: excluded","Open forecast")</x:f>
        <x:v>Open forecast</x:v>
      </x:c>
    </x:row>
    <x:row r="132" ht="22" customHeight="1">
      <x:c r="A132" s="42"/>
      <x:c r="B132" s="42"/>
      <x:c r="C132" s="42" t="str">
        <x:f>IF('Drivers'!$D$5="","",'Drivers'!$D$5)</x:f>
      </x:c>
      <x:c r="D132" s="42" t="str">
        <x:f>IF('Drivers'!$D$4="","",'Drivers'!$D$4)</x:f>
      </x:c>
      <x:c r="E132" s="69" t="n">
        <x:f>'STR Build'!K$6</x:f>
        <x:v>46539</x:v>
      </x:c>
      <x:c r="F132" s="42" t="str">
        <x:f>IF('Drivers'!$D$10="","",'Drivers'!$D$10)</x:f>
        <x:v>Working Draft</x:v>
      </x:c>
      <x:c r="G132" s="42" t="str">
        <x:f>IF('GL Mapping'!I22="",'GL Mapping'!C22,'GL Mapping'!I22)</x:f>
        <x:v>680100</x:v>
      </x:c>
      <x:c r="H132" s="42" t="str">
        <x:v>Property taxes</x:v>
      </x:c>
      <x:c r="I132" s="42" t="str">
        <x:f>IF('Drivers'!$D$11="","",'Drivers'!$D$11)</x:f>
        <x:v>Short-Term Rentals</x:v>
      </x:c>
      <x:c r="J132" s="42" t="str">
        <x:f>IF('Drivers'!$D$8="","",'Drivers'!$D$8)</x:f>
        <x:v>USD</x:v>
      </x:c>
      <x:c r="K132" s="42" t="str">
        <x:f>IF('Drivers'!$D$21="","",'Drivers'!$D$21)</x:f>
        <x:v>Calendar</x:v>
      </x:c>
      <x:c r="L132" s="42" t="str">
        <x:f>IF('Drivers'!$D$9="","",'Drivers'!$D$9)</x:f>
        <x:v>Accrual</x:v>
      </x:c>
      <x:c r="M132" s="70" t="str">
        <x:f>IF('Drivers'!$D$12="","",'Drivers'!$D$12)</x:f>
      </x:c>
      <x:c r="N132" s="42" t="str">
        <x:f>IF('Drivers'!$D$15="","",'Drivers'!$D$15)</x:f>
      </x:c>
      <x:c r="O132" s="42" t="str">
        <x:v>expense</x:v>
      </x:c>
      <x:c r="P132" s="42" t="str">
        <x:v>above_noi</x:v>
      </x:c>
      <x:c r="Q132" s="42" t="n">
        <x:v>1</x:v>
      </x:c>
      <x:c r="R132" s="51" t="str">
        <x:f>IF(V132="Closed: excluded","",IF(ISNUMBER('STR Build'!K46),'STR Build'!K46,""))</x:f>
      </x:c>
      <x:c r="S132" s="42" t="str">
        <x:v>STR Build!K46</x:v>
      </x:c>
      <x:c r="T132" s="42" t="str">
        <x:v>Formula</x:v>
      </x:c>
      <x:c r="U132" s="67" t="str">
        <x:f>IF(ISNUMBER(R132),IF(R132=0,"Populated zero","Populated"),"Missing")</x:f>
        <x:v>Missing</x:v>
      </x:c>
      <x:c r="V132" s="67" t="str">
        <x:f>IF(AND(ISNUMBER('Drivers'!$D$12),E132&lt;='Drivers'!$D$12),"Closed: excluded","Open forecast")</x:f>
        <x:v>Open forecast</x:v>
      </x:c>
    </x:row>
    <x:row r="133" ht="22" customHeight="1">
      <x:c r="A133" s="42"/>
      <x:c r="B133" s="42"/>
      <x:c r="C133" s="42" t="str">
        <x:f>IF('Drivers'!$D$5="","",'Drivers'!$D$5)</x:f>
      </x:c>
      <x:c r="D133" s="42" t="str">
        <x:f>IF('Drivers'!$D$4="","",'Drivers'!$D$4)</x:f>
      </x:c>
      <x:c r="E133" s="69" t="n">
        <x:f>'STR Build'!K$6</x:f>
        <x:v>46539</x:v>
      </x:c>
      <x:c r="F133" s="42" t="str">
        <x:f>IF('Drivers'!$D$10="","",'Drivers'!$D$10)</x:f>
        <x:v>Working Draft</x:v>
      </x:c>
      <x:c r="G133" s="42" t="str">
        <x:f>IF('GL Mapping'!I23="",'GL Mapping'!C23,'GL Mapping'!I23)</x:f>
        <x:v>690100</x:v>
      </x:c>
      <x:c r="H133" s="42" t="str">
        <x:v>Other operating expenses</x:v>
      </x:c>
      <x:c r="I133" s="42" t="str">
        <x:f>IF('Drivers'!$D$11="","",'Drivers'!$D$11)</x:f>
        <x:v>Short-Term Rentals</x:v>
      </x:c>
      <x:c r="J133" s="42" t="str">
        <x:f>IF('Drivers'!$D$8="","",'Drivers'!$D$8)</x:f>
        <x:v>USD</x:v>
      </x:c>
      <x:c r="K133" s="42" t="str">
        <x:f>IF('Drivers'!$D$21="","",'Drivers'!$D$21)</x:f>
        <x:v>Calendar</x:v>
      </x:c>
      <x:c r="L133" s="42" t="str">
        <x:f>IF('Drivers'!$D$9="","",'Drivers'!$D$9)</x:f>
        <x:v>Accrual</x:v>
      </x:c>
      <x:c r="M133" s="70" t="str">
        <x:f>IF('Drivers'!$D$12="","",'Drivers'!$D$12)</x:f>
      </x:c>
      <x:c r="N133" s="42" t="str">
        <x:f>IF('Drivers'!$D$15="","",'Drivers'!$D$15)</x:f>
      </x:c>
      <x:c r="O133" s="42" t="str">
        <x:v>expense</x:v>
      </x:c>
      <x:c r="P133" s="42" t="str">
        <x:v>above_noi</x:v>
      </x:c>
      <x:c r="Q133" s="42" t="n">
        <x:v>1</x:v>
      </x:c>
      <x:c r="R133" s="51" t="str">
        <x:f>IF(V133="Closed: excluded","",IF(ISNUMBER('STR Build'!K47),'STR Build'!K47,""))</x:f>
      </x:c>
      <x:c r="S133" s="42" t="str">
        <x:v>STR Build!K47</x:v>
      </x:c>
      <x:c r="T133" s="42" t="str">
        <x:v>Formula</x:v>
      </x:c>
      <x:c r="U133" s="67" t="str">
        <x:f>IF(ISNUMBER(R133),IF(R133=0,"Populated zero","Populated"),"Missing")</x:f>
        <x:v>Missing</x:v>
      </x:c>
      <x:c r="V133" s="67" t="str">
        <x:f>IF(AND(ISNUMBER('Drivers'!$D$12),E133&lt;='Drivers'!$D$12),"Closed: excluded","Open forecast")</x:f>
        <x:v>Open forecast</x:v>
      </x:c>
    </x:row>
    <x:row r="134" ht="22" customHeight="1">
      <x:c r="A134" s="42"/>
      <x:c r="B134" s="42"/>
      <x:c r="C134" s="42" t="str">
        <x:f>IF('Drivers'!$D$5="","",'Drivers'!$D$5)</x:f>
      </x:c>
      <x:c r="D134" s="42" t="str">
        <x:f>IF('Drivers'!$D$4="","",'Drivers'!$D$4)</x:f>
      </x:c>
      <x:c r="E134" s="69" t="n">
        <x:f>'STR Build'!K$6</x:f>
        <x:v>46539</x:v>
      </x:c>
      <x:c r="F134" s="42" t="str">
        <x:f>IF('Drivers'!$D$10="","",'Drivers'!$D$10)</x:f>
        <x:v>Working Draft</x:v>
      </x:c>
      <x:c r="G134" s="42" t="str">
        <x:f>IF('GL Mapping'!I24="",'GL Mapping'!C24,'GL Mapping'!I24)</x:f>
        <x:v>710100</x:v>
      </x:c>
      <x:c r="H134" s="42" t="str">
        <x:v>Other below-NOI cash costs</x:v>
      </x:c>
      <x:c r="I134" s="42" t="str">
        <x:f>IF('Drivers'!$D$11="","",'Drivers'!$D$11)</x:f>
        <x:v>Short-Term Rentals</x:v>
      </x:c>
      <x:c r="J134" s="42" t="str">
        <x:f>IF('Drivers'!$D$8="","",'Drivers'!$D$8)</x:f>
        <x:v>USD</x:v>
      </x:c>
      <x:c r="K134" s="42" t="str">
        <x:f>IF('Drivers'!$D$21="","",'Drivers'!$D$21)</x:f>
        <x:v>Calendar</x:v>
      </x:c>
      <x:c r="L134" s="42" t="str">
        <x:f>IF('Drivers'!$D$9="","",'Drivers'!$D$9)</x:f>
        <x:v>Accrual</x:v>
      </x:c>
      <x:c r="M134" s="70" t="str">
        <x:f>IF('Drivers'!$D$12="","",'Drivers'!$D$12)</x:f>
      </x:c>
      <x:c r="N134" s="42" t="str">
        <x:f>IF('Drivers'!$D$15="","",'Drivers'!$D$15)</x:f>
      </x:c>
      <x:c r="O134" s="42" t="str">
        <x:v>below_noi</x:v>
      </x:c>
      <x:c r="P134" s="42" t="str">
        <x:v>below_noi</x:v>
      </x:c>
      <x:c r="Q134" s="42" t="n">
        <x:v>1</x:v>
      </x:c>
      <x:c r="R134" s="51" t="str">
        <x:f>IF(V134="Closed: excluded","",IF(ISNUMBER('STR Build'!K55),'STR Build'!K55,""))</x:f>
      </x:c>
      <x:c r="S134" s="42" t="str">
        <x:v>STR Build!K55</x:v>
      </x:c>
      <x:c r="T134" s="42" t="str">
        <x:v>Formula</x:v>
      </x:c>
      <x:c r="U134" s="67" t="str">
        <x:f>IF(ISNUMBER(R134),IF(R134=0,"Populated zero","Populated"),"Missing")</x:f>
        <x:v>Missing</x:v>
      </x:c>
      <x:c r="V134" s="67" t="str">
        <x:f>IF(AND(ISNUMBER('Drivers'!$D$12),E134&lt;='Drivers'!$D$12),"Closed: excluded","Open forecast")</x:f>
        <x:v>Open forecast</x:v>
      </x:c>
    </x:row>
    <x:row r="135" ht="22" customHeight="1">
      <x:c r="A135" s="42"/>
      <x:c r="B135" s="42"/>
      <x:c r="C135" s="42" t="str">
        <x:f>IF('Drivers'!$D$5="","",'Drivers'!$D$5)</x:f>
      </x:c>
      <x:c r="D135" s="42" t="str">
        <x:f>IF('Drivers'!$D$4="","",'Drivers'!$D$4)</x:f>
      </x:c>
      <x:c r="E135" s="69" t="n">
        <x:f>'STR Build'!K$6</x:f>
        <x:v>46539</x:v>
      </x:c>
      <x:c r="F135" s="42" t="str">
        <x:f>IF('Drivers'!$D$10="","",'Drivers'!$D$10)</x:f>
        <x:v>Working Draft</x:v>
      </x:c>
      <x:c r="G135" s="42" t="str">
        <x:f>IF('GL Mapping'!I25="",'GL Mapping'!C25,'GL Mapping'!I25)</x:f>
        <x:v>720100</x:v>
      </x:c>
      <x:c r="H135" s="42" t="str">
        <x:v>Debt interest</x:v>
      </x:c>
      <x:c r="I135" s="42" t="str">
        <x:f>IF('Drivers'!$D$11="","",'Drivers'!$D$11)</x:f>
        <x:v>Short-Term Rentals</x:v>
      </x:c>
      <x:c r="J135" s="42" t="str">
        <x:f>IF('Drivers'!$D$8="","",'Drivers'!$D$8)</x:f>
        <x:v>USD</x:v>
      </x:c>
      <x:c r="K135" s="42" t="str">
        <x:f>IF('Drivers'!$D$21="","",'Drivers'!$D$21)</x:f>
        <x:v>Calendar</x:v>
      </x:c>
      <x:c r="L135" s="42" t="str">
        <x:f>IF('Drivers'!$D$9="","",'Drivers'!$D$9)</x:f>
        <x:v>Accrual</x:v>
      </x:c>
      <x:c r="M135" s="70" t="str">
        <x:f>IF('Drivers'!$D$12="","",'Drivers'!$D$12)</x:f>
      </x:c>
      <x:c r="N135" s="42" t="str">
        <x:f>IF('Drivers'!$D$15="","",'Drivers'!$D$15)</x:f>
      </x:c>
      <x:c r="O135" s="42" t="str">
        <x:v>debt</x:v>
      </x:c>
      <x:c r="P135" s="42" t="str">
        <x:v>below_noi</x:v>
      </x:c>
      <x:c r="Q135" s="42" t="n">
        <x:v>1</x:v>
      </x:c>
      <x:c r="R135" s="51" t="str">
        <x:f>IF(V135="Closed: excluded","",IF(ISNUMBER('STR Build'!K56),'STR Build'!K56,""))</x:f>
      </x:c>
      <x:c r="S135" s="42" t="str">
        <x:v>STR Build!K56</x:v>
      </x:c>
      <x:c r="T135" s="42" t="str">
        <x:v>Formula</x:v>
      </x:c>
      <x:c r="U135" s="67" t="str">
        <x:f>IF(ISNUMBER(R135),IF(R135=0,"Populated zero","Populated"),"Missing")</x:f>
        <x:v>Missing</x:v>
      </x:c>
      <x:c r="V135" s="67" t="str">
        <x:f>IF(AND(ISNUMBER('Drivers'!$D$12),E135&lt;='Drivers'!$D$12),"Closed: excluded","Open forecast")</x:f>
        <x:v>Open forecast</x:v>
      </x:c>
    </x:row>
    <x:row r="136" ht="22" customHeight="1">
      <x:c r="A136" s="42"/>
      <x:c r="B136" s="42"/>
      <x:c r="C136" s="42" t="str">
        <x:f>IF('Drivers'!$D$5="","",'Drivers'!$D$5)</x:f>
      </x:c>
      <x:c r="D136" s="42" t="str">
        <x:f>IF('Drivers'!$D$4="","",'Drivers'!$D$4)</x:f>
      </x:c>
      <x:c r="E136" s="69" t="n">
        <x:f>'STR Build'!K$6</x:f>
        <x:v>46539</x:v>
      </x:c>
      <x:c r="F136" s="42" t="str">
        <x:f>IF('Drivers'!$D$10="","",'Drivers'!$D$10)</x:f>
        <x:v>Working Draft</x:v>
      </x:c>
      <x:c r="G136" s="42" t="str">
        <x:f>IF('GL Mapping'!I26="",'GL Mapping'!C26,'GL Mapping'!I26)</x:f>
        <x:v>720200</x:v>
      </x:c>
      <x:c r="H136" s="42" t="str">
        <x:v>Debt principal</x:v>
      </x:c>
      <x:c r="I136" s="42" t="str">
        <x:f>IF('Drivers'!$D$11="","",'Drivers'!$D$11)</x:f>
        <x:v>Short-Term Rentals</x:v>
      </x:c>
      <x:c r="J136" s="42" t="str">
        <x:f>IF('Drivers'!$D$8="","",'Drivers'!$D$8)</x:f>
        <x:v>USD</x:v>
      </x:c>
      <x:c r="K136" s="42" t="str">
        <x:f>IF('Drivers'!$D$21="","",'Drivers'!$D$21)</x:f>
        <x:v>Calendar</x:v>
      </x:c>
      <x:c r="L136" s="42" t="str">
        <x:f>IF('Drivers'!$D$9="","",'Drivers'!$D$9)</x:f>
        <x:v>Accrual</x:v>
      </x:c>
      <x:c r="M136" s="70" t="str">
        <x:f>IF('Drivers'!$D$12="","",'Drivers'!$D$12)</x:f>
      </x:c>
      <x:c r="N136" s="42" t="str">
        <x:f>IF('Drivers'!$D$15="","",'Drivers'!$D$15)</x:f>
      </x:c>
      <x:c r="O136" s="42" t="str">
        <x:v>debt</x:v>
      </x:c>
      <x:c r="P136" s="42" t="str">
        <x:v>below_noi</x:v>
      </x:c>
      <x:c r="Q136" s="42" t="n">
        <x:v>1</x:v>
      </x:c>
      <x:c r="R136" s="51" t="str">
        <x:f>IF(V136="Closed: excluded","",IF(ISNUMBER('STR Build'!K57),'STR Build'!K57,""))</x:f>
      </x:c>
      <x:c r="S136" s="42" t="str">
        <x:v>STR Build!K57</x:v>
      </x:c>
      <x:c r="T136" s="42" t="str">
        <x:v>Formula</x:v>
      </x:c>
      <x:c r="U136" s="67" t="str">
        <x:f>IF(ISNUMBER(R136),IF(R136=0,"Populated zero","Populated"),"Missing")</x:f>
        <x:v>Missing</x:v>
      </x:c>
      <x:c r="V136" s="67" t="str">
        <x:f>IF(AND(ISNUMBER('Drivers'!$D$12),E136&lt;='Drivers'!$D$12),"Closed: excluded","Open forecast")</x:f>
        <x:v>Open forecast</x:v>
      </x:c>
    </x:row>
    <x:row r="137" ht="22" customHeight="1">
      <x:c r="A137" s="42"/>
      <x:c r="B137" s="42"/>
      <x:c r="C137" s="42" t="str">
        <x:f>IF('Drivers'!$D$5="","",'Drivers'!$D$5)</x:f>
      </x:c>
      <x:c r="D137" s="42" t="str">
        <x:f>IF('Drivers'!$D$4="","",'Drivers'!$D$4)</x:f>
      </x:c>
      <x:c r="E137" s="69" t="n">
        <x:f>'STR Build'!K$6</x:f>
        <x:v>46539</x:v>
      </x:c>
      <x:c r="F137" s="42" t="str">
        <x:f>IF('Drivers'!$D$10="","",'Drivers'!$D$10)</x:f>
        <x:v>Working Draft</x:v>
      </x:c>
      <x:c r="G137" s="42" t="str">
        <x:f>IF('GL Mapping'!I27="",'GL Mapping'!C27,'GL Mapping'!I27)</x:f>
        <x:v>730100</x:v>
      </x:c>
      <x:c r="H137" s="42" t="str">
        <x:v>Capital expenditure</x:v>
      </x:c>
      <x:c r="I137" s="42" t="str">
        <x:f>IF('Drivers'!$D$11="","",'Drivers'!$D$11)</x:f>
        <x:v>Short-Term Rentals</x:v>
      </x:c>
      <x:c r="J137" s="42" t="str">
        <x:f>IF('Drivers'!$D$8="","",'Drivers'!$D$8)</x:f>
        <x:v>USD</x:v>
      </x:c>
      <x:c r="K137" s="42" t="str">
        <x:f>IF('Drivers'!$D$21="","",'Drivers'!$D$21)</x:f>
        <x:v>Calendar</x:v>
      </x:c>
      <x:c r="L137" s="42" t="str">
        <x:f>IF('Drivers'!$D$9="","",'Drivers'!$D$9)</x:f>
        <x:v>Accrual</x:v>
      </x:c>
      <x:c r="M137" s="70" t="str">
        <x:f>IF('Drivers'!$D$12="","",'Drivers'!$D$12)</x:f>
      </x:c>
      <x:c r="N137" s="42" t="str">
        <x:f>IF('Drivers'!$D$15="","",'Drivers'!$D$15)</x:f>
      </x:c>
      <x:c r="O137" s="42" t="str">
        <x:v>capital</x:v>
      </x:c>
      <x:c r="P137" s="42" t="str">
        <x:v>below_noi</x:v>
      </x:c>
      <x:c r="Q137" s="42" t="n">
        <x:v>1</x:v>
      </x:c>
      <x:c r="R137" s="51" t="str">
        <x:f>IF(V137="Closed: excluded","",IF(ISNUMBER('STR Build'!K58),'STR Build'!K58,""))</x:f>
      </x:c>
      <x:c r="S137" s="42" t="str">
        <x:v>STR Build!K58</x:v>
      </x:c>
      <x:c r="T137" s="42" t="str">
        <x:v>Formula</x:v>
      </x:c>
      <x:c r="U137" s="67" t="str">
        <x:f>IF(ISNUMBER(R137),IF(R137=0,"Populated zero","Populated"),"Missing")</x:f>
        <x:v>Missing</x:v>
      </x:c>
      <x:c r="V137" s="67" t="str">
        <x:f>IF(AND(ISNUMBER('Drivers'!$D$12),E137&lt;='Drivers'!$D$12),"Closed: excluded","Open forecast")</x:f>
        <x:v>Open forecast</x:v>
      </x:c>
    </x:row>
    <x:row r="138" ht="22" customHeight="1">
      <x:c r="A138" s="42"/>
      <x:c r="B138" s="42"/>
      <x:c r="C138" s="42" t="str">
        <x:f>IF('Drivers'!$D$5="","",'Drivers'!$D$5)</x:f>
      </x:c>
      <x:c r="D138" s="42" t="str">
        <x:f>IF('Drivers'!$D$4="","",'Drivers'!$D$4)</x:f>
      </x:c>
      <x:c r="E138" s="69" t="n">
        <x:f>'STR Build'!K$6</x:f>
        <x:v>46539</x:v>
      </x:c>
      <x:c r="F138" s="42" t="str">
        <x:f>IF('Drivers'!$D$10="","",'Drivers'!$D$10)</x:f>
        <x:v>Working Draft</x:v>
      </x:c>
      <x:c r="G138" s="42" t="str">
        <x:f>IF('GL Mapping'!I28="",'GL Mapping'!C28,'GL Mapping'!I28)</x:f>
        <x:v>740100</x:v>
      </x:c>
      <x:c r="H138" s="42" t="str">
        <x:v>Working-capital cash use</x:v>
      </x:c>
      <x:c r="I138" s="42" t="str">
        <x:f>IF('Drivers'!$D$11="","",'Drivers'!$D$11)</x:f>
        <x:v>Short-Term Rentals</x:v>
      </x:c>
      <x:c r="J138" s="42" t="str">
        <x:f>IF('Drivers'!$D$8="","",'Drivers'!$D$8)</x:f>
        <x:v>USD</x:v>
      </x:c>
      <x:c r="K138" s="42" t="str">
        <x:f>IF('Drivers'!$D$21="","",'Drivers'!$D$21)</x:f>
        <x:v>Calendar</x:v>
      </x:c>
      <x:c r="L138" s="42" t="str">
        <x:f>IF('Drivers'!$D$9="","",'Drivers'!$D$9)</x:f>
        <x:v>Accrual</x:v>
      </x:c>
      <x:c r="M138" s="70" t="str">
        <x:f>IF('Drivers'!$D$12="","",'Drivers'!$D$12)</x:f>
      </x:c>
      <x:c r="N138" s="42" t="str">
        <x:f>IF('Drivers'!$D$15="","",'Drivers'!$D$15)</x:f>
      </x:c>
      <x:c r="O138" s="42" t="str">
        <x:v>below_noi</x:v>
      </x:c>
      <x:c r="P138" s="42" t="str">
        <x:v>below_noi</x:v>
      </x:c>
      <x:c r="Q138" s="42" t="n">
        <x:v>1</x:v>
      </x:c>
      <x:c r="R138" s="51" t="str">
        <x:f>IF(V138="Closed: excluded","",IF(ISNUMBER('STR Build'!K59),'STR Build'!K59,""))</x:f>
      </x:c>
      <x:c r="S138" s="42" t="str">
        <x:v>STR Build!K59</x:v>
      </x:c>
      <x:c r="T138" s="42" t="str">
        <x:v>Formula</x:v>
      </x:c>
      <x:c r="U138" s="67" t="str">
        <x:f>IF(ISNUMBER(R138),IF(R138=0,"Populated zero","Populated"),"Missing")</x:f>
        <x:v>Missing</x:v>
      </x:c>
      <x:c r="V138" s="67" t="str">
        <x:f>IF(AND(ISNUMBER('Drivers'!$D$12),E138&lt;='Drivers'!$D$12),"Closed: excluded","Open forecast")</x:f>
        <x:v>Open forecast</x:v>
      </x:c>
    </x:row>
    <x:row r="139" ht="22" customHeight="1">
      <x:c r="A139" s="42"/>
      <x:c r="B139" s="42"/>
      <x:c r="C139" s="42" t="str">
        <x:f>IF('Drivers'!$D$5="","",'Drivers'!$D$5)</x:f>
      </x:c>
      <x:c r="D139" s="42" t="str">
        <x:f>IF('Drivers'!$D$4="","",'Drivers'!$D$4)</x:f>
      </x:c>
      <x:c r="E139" s="69" t="n">
        <x:f>'STR Build'!L$6</x:f>
        <x:v>46569</x:v>
      </x:c>
      <x:c r="F139" s="42" t="str">
        <x:f>IF('Drivers'!$D$10="","",'Drivers'!$D$10)</x:f>
        <x:v>Working Draft</x:v>
      </x:c>
      <x:c r="G139" s="42" t="str">
        <x:f>IF('GL Mapping'!I7="",'GL Mapping'!C7,'GL Mapping'!I7)</x:f>
        <x:v>410100</x:v>
      </x:c>
      <x:c r="H139" s="42" t="str">
        <x:v>Lodging revenue</x:v>
      </x:c>
      <x:c r="I139" s="42" t="str">
        <x:f>IF('Drivers'!$D$11="","",'Drivers'!$D$11)</x:f>
        <x:v>Short-Term Rentals</x:v>
      </x:c>
      <x:c r="J139" s="42" t="str">
        <x:f>IF('Drivers'!$D$8="","",'Drivers'!$D$8)</x:f>
        <x:v>USD</x:v>
      </x:c>
      <x:c r="K139" s="42" t="str">
        <x:f>IF('Drivers'!$D$21="","",'Drivers'!$D$21)</x:f>
        <x:v>Calendar</x:v>
      </x:c>
      <x:c r="L139" s="42" t="str">
        <x:f>IF('Drivers'!$D$9="","",'Drivers'!$D$9)</x:f>
        <x:v>Accrual</x:v>
      </x:c>
      <x:c r="M139" s="70" t="str">
        <x:f>IF('Drivers'!$D$12="","",'Drivers'!$D$12)</x:f>
      </x:c>
      <x:c r="N139" s="42" t="str">
        <x:f>IF('Drivers'!$D$15="","",'Drivers'!$D$15)</x:f>
      </x:c>
      <x:c r="O139" s="42" t="str">
        <x:v>income</x:v>
      </x:c>
      <x:c r="P139" s="42" t="str">
        <x:v>above_noi</x:v>
      </x:c>
      <x:c r="Q139" s="42" t="n">
        <x:v>1</x:v>
      </x:c>
      <x:c r="R139" s="51" t="str">
        <x:f>IF(V139="Closed: excluded","",IF(ISNUMBER('STR Build'!L28),'STR Build'!L28,""))</x:f>
      </x:c>
      <x:c r="S139" s="42" t="str">
        <x:v>STR Build!L28</x:v>
      </x:c>
      <x:c r="T139" s="42" t="str">
        <x:v>Formula</x:v>
      </x:c>
      <x:c r="U139" s="67" t="str">
        <x:f>IF(ISNUMBER(R139),IF(R139=0,"Populated zero","Populated"),"Missing")</x:f>
        <x:v>Missing</x:v>
      </x:c>
      <x:c r="V139" s="67" t="str">
        <x:f>IF(AND(ISNUMBER('Drivers'!$D$12),E139&lt;='Drivers'!$D$12),"Closed: excluded","Open forecast")</x:f>
        <x:v>Open forecast</x:v>
      </x:c>
    </x:row>
    <x:row r="140" ht="22" customHeight="1">
      <x:c r="A140" s="42"/>
      <x:c r="B140" s="42"/>
      <x:c r="C140" s="42" t="str">
        <x:f>IF('Drivers'!$D$5="","",'Drivers'!$D$5)</x:f>
      </x:c>
      <x:c r="D140" s="42" t="str">
        <x:f>IF('Drivers'!$D$4="","",'Drivers'!$D$4)</x:f>
      </x:c>
      <x:c r="E140" s="69" t="n">
        <x:f>'STR Build'!L$6</x:f>
        <x:v>46569</x:v>
      </x:c>
      <x:c r="F140" s="42" t="str">
        <x:f>IF('Drivers'!$D$10="","",'Drivers'!$D$10)</x:f>
        <x:v>Working Draft</x:v>
      </x:c>
      <x:c r="G140" s="42" t="str">
        <x:f>IF('GL Mapping'!I8="",'GL Mapping'!C8,'GL Mapping'!I8)</x:f>
        <x:v>410200</x:v>
      </x:c>
      <x:c r="H140" s="42" t="str">
        <x:v>Cleaning fee income</x:v>
      </x:c>
      <x:c r="I140" s="42" t="str">
        <x:f>IF('Drivers'!$D$11="","",'Drivers'!$D$11)</x:f>
        <x:v>Short-Term Rentals</x:v>
      </x:c>
      <x:c r="J140" s="42" t="str">
        <x:f>IF('Drivers'!$D$8="","",'Drivers'!$D$8)</x:f>
        <x:v>USD</x:v>
      </x:c>
      <x:c r="K140" s="42" t="str">
        <x:f>IF('Drivers'!$D$21="","",'Drivers'!$D$21)</x:f>
        <x:v>Calendar</x:v>
      </x:c>
      <x:c r="L140" s="42" t="str">
        <x:f>IF('Drivers'!$D$9="","",'Drivers'!$D$9)</x:f>
        <x:v>Accrual</x:v>
      </x:c>
      <x:c r="M140" s="70" t="str">
        <x:f>IF('Drivers'!$D$12="","",'Drivers'!$D$12)</x:f>
      </x:c>
      <x:c r="N140" s="42" t="str">
        <x:f>IF('Drivers'!$D$15="","",'Drivers'!$D$15)</x:f>
      </x:c>
      <x:c r="O140" s="42" t="str">
        <x:v>income</x:v>
      </x:c>
      <x:c r="P140" s="42" t="str">
        <x:v>above_noi</x:v>
      </x:c>
      <x:c r="Q140" s="42" t="n">
        <x:v>1</x:v>
      </x:c>
      <x:c r="R140" s="51" t="str">
        <x:f>IF(V140="Closed: excluded","",IF(ISNUMBER('STR Build'!L29),'STR Build'!L29,""))</x:f>
      </x:c>
      <x:c r="S140" s="42" t="str">
        <x:v>STR Build!L29</x:v>
      </x:c>
      <x:c r="T140" s="42" t="str">
        <x:v>Formula</x:v>
      </x:c>
      <x:c r="U140" s="67" t="str">
        <x:f>IF(ISNUMBER(R140),IF(R140=0,"Populated zero","Populated"),"Missing")</x:f>
        <x:v>Missing</x:v>
      </x:c>
      <x:c r="V140" s="67" t="str">
        <x:f>IF(AND(ISNUMBER('Drivers'!$D$12),E140&lt;='Drivers'!$D$12),"Closed: excluded","Open forecast")</x:f>
        <x:v>Open forecast</x:v>
      </x:c>
    </x:row>
    <x:row r="141" ht="22" customHeight="1">
      <x:c r="A141" s="42"/>
      <x:c r="B141" s="42"/>
      <x:c r="C141" s="42" t="str">
        <x:f>IF('Drivers'!$D$5="","",'Drivers'!$D$5)</x:f>
      </x:c>
      <x:c r="D141" s="42" t="str">
        <x:f>IF('Drivers'!$D$4="","",'Drivers'!$D$4)</x:f>
      </x:c>
      <x:c r="E141" s="69" t="n">
        <x:f>'STR Build'!L$6</x:f>
        <x:v>46569</x:v>
      </x:c>
      <x:c r="F141" s="42" t="str">
        <x:f>IF('Drivers'!$D$10="","",'Drivers'!$D$10)</x:f>
        <x:v>Working Draft</x:v>
      </x:c>
      <x:c r="G141" s="42" t="str">
        <x:f>IF('GL Mapping'!I9="",'GL Mapping'!C9,'GL Mapping'!I9)</x:f>
        <x:v>410300</x:v>
      </x:c>
      <x:c r="H141" s="42" t="str">
        <x:v>Other guest fee income</x:v>
      </x:c>
      <x:c r="I141" s="42" t="str">
        <x:f>IF('Drivers'!$D$11="","",'Drivers'!$D$11)</x:f>
        <x:v>Short-Term Rentals</x:v>
      </x:c>
      <x:c r="J141" s="42" t="str">
        <x:f>IF('Drivers'!$D$8="","",'Drivers'!$D$8)</x:f>
        <x:v>USD</x:v>
      </x:c>
      <x:c r="K141" s="42" t="str">
        <x:f>IF('Drivers'!$D$21="","",'Drivers'!$D$21)</x:f>
        <x:v>Calendar</x:v>
      </x:c>
      <x:c r="L141" s="42" t="str">
        <x:f>IF('Drivers'!$D$9="","",'Drivers'!$D$9)</x:f>
        <x:v>Accrual</x:v>
      </x:c>
      <x:c r="M141" s="70" t="str">
        <x:f>IF('Drivers'!$D$12="","",'Drivers'!$D$12)</x:f>
      </x:c>
      <x:c r="N141" s="42" t="str">
        <x:f>IF('Drivers'!$D$15="","",'Drivers'!$D$15)</x:f>
      </x:c>
      <x:c r="O141" s="42" t="str">
        <x:v>income</x:v>
      </x:c>
      <x:c r="P141" s="42" t="str">
        <x:v>above_noi</x:v>
      </x:c>
      <x:c r="Q141" s="42" t="n">
        <x:v>1</x:v>
      </x:c>
      <x:c r="R141" s="51" t="str">
        <x:f>IF(V141="Closed: excluded","",IF(ISNUMBER('STR Build'!L30),'STR Build'!L30,""))</x:f>
      </x:c>
      <x:c r="S141" s="42" t="str">
        <x:v>STR Build!L30</x:v>
      </x:c>
      <x:c r="T141" s="42" t="str">
        <x:v>Formula</x:v>
      </x:c>
      <x:c r="U141" s="67" t="str">
        <x:f>IF(ISNUMBER(R141),IF(R141=0,"Populated zero","Populated"),"Missing")</x:f>
        <x:v>Missing</x:v>
      </x:c>
      <x:c r="V141" s="67" t="str">
        <x:f>IF(AND(ISNUMBER('Drivers'!$D$12),E141&lt;='Drivers'!$D$12),"Closed: excluded","Open forecast")</x:f>
        <x:v>Open forecast</x:v>
      </x:c>
    </x:row>
    <x:row r="142" ht="22" customHeight="1">
      <x:c r="A142" s="42"/>
      <x:c r="B142" s="42"/>
      <x:c r="C142" s="42" t="str">
        <x:f>IF('Drivers'!$D$5="","",'Drivers'!$D$5)</x:f>
      </x:c>
      <x:c r="D142" s="42" t="str">
        <x:f>IF('Drivers'!$D$4="","",'Drivers'!$D$4)</x:f>
      </x:c>
      <x:c r="E142" s="69" t="n">
        <x:f>'STR Build'!L$6</x:f>
        <x:v>46569</x:v>
      </x:c>
      <x:c r="F142" s="42" t="str">
        <x:f>IF('Drivers'!$D$10="","",'Drivers'!$D$10)</x:f>
        <x:v>Working Draft</x:v>
      </x:c>
      <x:c r="G142" s="42" t="str">
        <x:f>IF('GL Mapping'!I10="",'GL Mapping'!C10,'GL Mapping'!I10)</x:f>
        <x:v>419100</x:v>
      </x:c>
      <x:c r="H142" s="42" t="str">
        <x:v>Refunds and discounts</x:v>
      </x:c>
      <x:c r="I142" s="42" t="str">
        <x:f>IF('Drivers'!$D$11="","",'Drivers'!$D$11)</x:f>
        <x:v>Short-Term Rentals</x:v>
      </x:c>
      <x:c r="J142" s="42" t="str">
        <x:f>IF('Drivers'!$D$8="","",'Drivers'!$D$8)</x:f>
        <x:v>USD</x:v>
      </x:c>
      <x:c r="K142" s="42" t="str">
        <x:f>IF('Drivers'!$D$21="","",'Drivers'!$D$21)</x:f>
        <x:v>Calendar</x:v>
      </x:c>
      <x:c r="L142" s="42" t="str">
        <x:f>IF('Drivers'!$D$9="","",'Drivers'!$D$9)</x:f>
        <x:v>Accrual</x:v>
      </x:c>
      <x:c r="M142" s="70" t="str">
        <x:f>IF('Drivers'!$D$12="","",'Drivers'!$D$12)</x:f>
      </x:c>
      <x:c r="N142" s="42" t="str">
        <x:f>IF('Drivers'!$D$15="","",'Drivers'!$D$15)</x:f>
      </x:c>
      <x:c r="O142" s="42" t="str">
        <x:v>contra_income</x:v>
      </x:c>
      <x:c r="P142" s="42" t="str">
        <x:v>above_noi</x:v>
      </x:c>
      <x:c r="Q142" s="42" t="n">
        <x:v>1</x:v>
      </x:c>
      <x:c r="R142" s="51" t="str">
        <x:f>IF(V142="Closed: excluded","",IF(ISNUMBER('STR Build'!L32),'STR Build'!L32,""))</x:f>
      </x:c>
      <x:c r="S142" s="42" t="str">
        <x:v>STR Build!L32</x:v>
      </x:c>
      <x:c r="T142" s="42" t="str">
        <x:v>Formula</x:v>
      </x:c>
      <x:c r="U142" s="67" t="str">
        <x:f>IF(ISNUMBER(R142),IF(R142=0,"Populated zero","Populated"),"Missing")</x:f>
        <x:v>Missing</x:v>
      </x:c>
      <x:c r="V142" s="67" t="str">
        <x:f>IF(AND(ISNUMBER('Drivers'!$D$12),E142&lt;='Drivers'!$D$12),"Closed: excluded","Open forecast")</x:f>
        <x:v>Open forecast</x:v>
      </x:c>
    </x:row>
    <x:row r="143" ht="22" customHeight="1">
      <x:c r="A143" s="42"/>
      <x:c r="B143" s="42"/>
      <x:c r="C143" s="42" t="str">
        <x:f>IF('Drivers'!$D$5="","",'Drivers'!$D$5)</x:f>
      </x:c>
      <x:c r="D143" s="42" t="str">
        <x:f>IF('Drivers'!$D$4="","",'Drivers'!$D$4)</x:f>
      </x:c>
      <x:c r="E143" s="69" t="n">
        <x:f>'STR Build'!L$6</x:f>
        <x:v>46569</x:v>
      </x:c>
      <x:c r="F143" s="42" t="str">
        <x:f>IF('Drivers'!$D$10="","",'Drivers'!$D$10)</x:f>
        <x:v>Working Draft</x:v>
      </x:c>
      <x:c r="G143" s="42" t="str">
        <x:f>IF('GL Mapping'!I11="",'GL Mapping'!C11,'GL Mapping'!I11)</x:f>
        <x:v>419200</x:v>
      </x:c>
      <x:c r="H143" s="42" t="str">
        <x:v>Bad debt</x:v>
      </x:c>
      <x:c r="I143" s="42" t="str">
        <x:f>IF('Drivers'!$D$11="","",'Drivers'!$D$11)</x:f>
        <x:v>Short-Term Rentals</x:v>
      </x:c>
      <x:c r="J143" s="42" t="str">
        <x:f>IF('Drivers'!$D$8="","",'Drivers'!$D$8)</x:f>
        <x:v>USD</x:v>
      </x:c>
      <x:c r="K143" s="42" t="str">
        <x:f>IF('Drivers'!$D$21="","",'Drivers'!$D$21)</x:f>
        <x:v>Calendar</x:v>
      </x:c>
      <x:c r="L143" s="42" t="str">
        <x:f>IF('Drivers'!$D$9="","",'Drivers'!$D$9)</x:f>
        <x:v>Accrual</x:v>
      </x:c>
      <x:c r="M143" s="70" t="str">
        <x:f>IF('Drivers'!$D$12="","",'Drivers'!$D$12)</x:f>
      </x:c>
      <x:c r="N143" s="42" t="str">
        <x:f>IF('Drivers'!$D$15="","",'Drivers'!$D$15)</x:f>
      </x:c>
      <x:c r="O143" s="42" t="str">
        <x:v>contra_income</x:v>
      </x:c>
      <x:c r="P143" s="42" t="str">
        <x:v>above_noi</x:v>
      </x:c>
      <x:c r="Q143" s="42" t="n">
        <x:v>1</x:v>
      </x:c>
      <x:c r="R143" s="51" t="str">
        <x:f>IF(V143="Closed: excluded","",IF(ISNUMBER('STR Build'!L33),'STR Build'!L33,""))</x:f>
      </x:c>
      <x:c r="S143" s="42" t="str">
        <x:v>STR Build!L33</x:v>
      </x:c>
      <x:c r="T143" s="42" t="str">
        <x:v>Formula</x:v>
      </x:c>
      <x:c r="U143" s="67" t="str">
        <x:f>IF(ISNUMBER(R143),IF(R143=0,"Populated zero","Populated"),"Missing")</x:f>
        <x:v>Missing</x:v>
      </x:c>
      <x:c r="V143" s="67" t="str">
        <x:f>IF(AND(ISNUMBER('Drivers'!$D$12),E143&lt;='Drivers'!$D$12),"Closed: excluded","Open forecast")</x:f>
        <x:v>Open forecast</x:v>
      </x:c>
    </x:row>
    <x:row r="144" ht="22" customHeight="1">
      <x:c r="A144" s="42"/>
      <x:c r="B144" s="42"/>
      <x:c r="C144" s="42" t="str">
        <x:f>IF('Drivers'!$D$5="","",'Drivers'!$D$5)</x:f>
      </x:c>
      <x:c r="D144" s="42" t="str">
        <x:f>IF('Drivers'!$D$4="","",'Drivers'!$D$4)</x:f>
      </x:c>
      <x:c r="E144" s="69" t="n">
        <x:f>'STR Build'!L$6</x:f>
        <x:v>46569</x:v>
      </x:c>
      <x:c r="F144" s="42" t="str">
        <x:f>IF('Drivers'!$D$10="","",'Drivers'!$D$10)</x:f>
        <x:v>Working Draft</x:v>
      </x:c>
      <x:c r="G144" s="42" t="str">
        <x:f>IF('GL Mapping'!I12="",'GL Mapping'!C12,'GL Mapping'!I12)</x:f>
        <x:v>610100</x:v>
      </x:c>
      <x:c r="H144" s="42" t="str">
        <x:v>Channel commissions</x:v>
      </x:c>
      <x:c r="I144" s="42" t="str">
        <x:f>IF('Drivers'!$D$11="","",'Drivers'!$D$11)</x:f>
        <x:v>Short-Term Rentals</x:v>
      </x:c>
      <x:c r="J144" s="42" t="str">
        <x:f>IF('Drivers'!$D$8="","",'Drivers'!$D$8)</x:f>
        <x:v>USD</x:v>
      </x:c>
      <x:c r="K144" s="42" t="str">
        <x:f>IF('Drivers'!$D$21="","",'Drivers'!$D$21)</x:f>
        <x:v>Calendar</x:v>
      </x:c>
      <x:c r="L144" s="42" t="str">
        <x:f>IF('Drivers'!$D$9="","",'Drivers'!$D$9)</x:f>
        <x:v>Accrual</x:v>
      </x:c>
      <x:c r="M144" s="70" t="str">
        <x:f>IF('Drivers'!$D$12="","",'Drivers'!$D$12)</x:f>
      </x:c>
      <x:c r="N144" s="42" t="str">
        <x:f>IF('Drivers'!$D$15="","",'Drivers'!$D$15)</x:f>
      </x:c>
      <x:c r="O144" s="42" t="str">
        <x:v>expense</x:v>
      </x:c>
      <x:c r="P144" s="42" t="str">
        <x:v>above_noi</x:v>
      </x:c>
      <x:c r="Q144" s="42" t="n">
        <x:v>1</x:v>
      </x:c>
      <x:c r="R144" s="51" t="str">
        <x:f>IF(V144="Closed: excluded","",IF(ISNUMBER('STR Build'!L36),'STR Build'!L36,""))</x:f>
      </x:c>
      <x:c r="S144" s="42" t="str">
        <x:v>STR Build!L36</x:v>
      </x:c>
      <x:c r="T144" s="42" t="str">
        <x:v>Formula</x:v>
      </x:c>
      <x:c r="U144" s="67" t="str">
        <x:f>IF(ISNUMBER(R144),IF(R144=0,"Populated zero","Populated"),"Missing")</x:f>
        <x:v>Missing</x:v>
      </x:c>
      <x:c r="V144" s="67" t="str">
        <x:f>IF(AND(ISNUMBER('Drivers'!$D$12),E144&lt;='Drivers'!$D$12),"Closed: excluded","Open forecast")</x:f>
        <x:v>Open forecast</x:v>
      </x:c>
    </x:row>
    <x:row r="145" ht="22" customHeight="1">
      <x:c r="A145" s="42"/>
      <x:c r="B145" s="42"/>
      <x:c r="C145" s="42" t="str">
        <x:f>IF('Drivers'!$D$5="","",'Drivers'!$D$5)</x:f>
      </x:c>
      <x:c r="D145" s="42" t="str">
        <x:f>IF('Drivers'!$D$4="","",'Drivers'!$D$4)</x:f>
      </x:c>
      <x:c r="E145" s="69" t="n">
        <x:f>'STR Build'!L$6</x:f>
        <x:v>46569</x:v>
      </x:c>
      <x:c r="F145" s="42" t="str">
        <x:f>IF('Drivers'!$D$10="","",'Drivers'!$D$10)</x:f>
        <x:v>Working Draft</x:v>
      </x:c>
      <x:c r="G145" s="42" t="str">
        <x:f>IF('GL Mapping'!I13="",'GL Mapping'!C13,'GL Mapping'!I13)</x:f>
        <x:v>610200</x:v>
      </x:c>
      <x:c r="H145" s="42" t="str">
        <x:v>Cleaning expense</x:v>
      </x:c>
      <x:c r="I145" s="42" t="str">
        <x:f>IF('Drivers'!$D$11="","",'Drivers'!$D$11)</x:f>
        <x:v>Short-Term Rentals</x:v>
      </x:c>
      <x:c r="J145" s="42" t="str">
        <x:f>IF('Drivers'!$D$8="","",'Drivers'!$D$8)</x:f>
        <x:v>USD</x:v>
      </x:c>
      <x:c r="K145" s="42" t="str">
        <x:f>IF('Drivers'!$D$21="","",'Drivers'!$D$21)</x:f>
        <x:v>Calendar</x:v>
      </x:c>
      <x:c r="L145" s="42" t="str">
        <x:f>IF('Drivers'!$D$9="","",'Drivers'!$D$9)</x:f>
        <x:v>Accrual</x:v>
      </x:c>
      <x:c r="M145" s="70" t="str">
        <x:f>IF('Drivers'!$D$12="","",'Drivers'!$D$12)</x:f>
      </x:c>
      <x:c r="N145" s="42" t="str">
        <x:f>IF('Drivers'!$D$15="","",'Drivers'!$D$15)</x:f>
      </x:c>
      <x:c r="O145" s="42" t="str">
        <x:v>expense</x:v>
      </x:c>
      <x:c r="P145" s="42" t="str">
        <x:v>above_noi</x:v>
      </x:c>
      <x:c r="Q145" s="42" t="n">
        <x:v>1</x:v>
      </x:c>
      <x:c r="R145" s="51" t="str">
        <x:f>IF(V145="Closed: excluded","",IF(ISNUMBER('STR Build'!L37),'STR Build'!L37,""))</x:f>
      </x:c>
      <x:c r="S145" s="42" t="str">
        <x:v>STR Build!L37</x:v>
      </x:c>
      <x:c r="T145" s="42" t="str">
        <x:v>Formula</x:v>
      </x:c>
      <x:c r="U145" s="67" t="str">
        <x:f>IF(ISNUMBER(R145),IF(R145=0,"Populated zero","Populated"),"Missing")</x:f>
        <x:v>Missing</x:v>
      </x:c>
      <x:c r="V145" s="67" t="str">
        <x:f>IF(AND(ISNUMBER('Drivers'!$D$12),E145&lt;='Drivers'!$D$12),"Closed: excluded","Open forecast")</x:f>
        <x:v>Open forecast</x:v>
      </x:c>
    </x:row>
    <x:row r="146" ht="22" customHeight="1">
      <x:c r="A146" s="42"/>
      <x:c r="B146" s="42"/>
      <x:c r="C146" s="42" t="str">
        <x:f>IF('Drivers'!$D$5="","",'Drivers'!$D$5)</x:f>
      </x:c>
      <x:c r="D146" s="42" t="str">
        <x:f>IF('Drivers'!$D$4="","",'Drivers'!$D$4)</x:f>
      </x:c>
      <x:c r="E146" s="69" t="n">
        <x:f>'STR Build'!L$6</x:f>
        <x:v>46569</x:v>
      </x:c>
      <x:c r="F146" s="42" t="str">
        <x:f>IF('Drivers'!$D$10="","",'Drivers'!$D$10)</x:f>
        <x:v>Working Draft</x:v>
      </x:c>
      <x:c r="G146" s="42" t="str">
        <x:f>IF('GL Mapping'!I14="",'GL Mapping'!C14,'GL Mapping'!I14)</x:f>
        <x:v>610300</x:v>
      </x:c>
      <x:c r="H146" s="42" t="str">
        <x:v>Property-borne lodging tax</x:v>
      </x:c>
      <x:c r="I146" s="42" t="str">
        <x:f>IF('Drivers'!$D$11="","",'Drivers'!$D$11)</x:f>
        <x:v>Short-Term Rentals</x:v>
      </x:c>
      <x:c r="J146" s="42" t="str">
        <x:f>IF('Drivers'!$D$8="","",'Drivers'!$D$8)</x:f>
        <x:v>USD</x:v>
      </x:c>
      <x:c r="K146" s="42" t="str">
        <x:f>IF('Drivers'!$D$21="","",'Drivers'!$D$21)</x:f>
        <x:v>Calendar</x:v>
      </x:c>
      <x:c r="L146" s="42" t="str">
        <x:f>IF('Drivers'!$D$9="","",'Drivers'!$D$9)</x:f>
        <x:v>Accrual</x:v>
      </x:c>
      <x:c r="M146" s="70" t="str">
        <x:f>IF('Drivers'!$D$12="","",'Drivers'!$D$12)</x:f>
      </x:c>
      <x:c r="N146" s="42" t="str">
        <x:f>IF('Drivers'!$D$15="","",'Drivers'!$D$15)</x:f>
      </x:c>
      <x:c r="O146" s="42" t="str">
        <x:v>expense</x:v>
      </x:c>
      <x:c r="P146" s="42" t="str">
        <x:v>above_noi</x:v>
      </x:c>
      <x:c r="Q146" s="42" t="n">
        <x:v>1</x:v>
      </x:c>
      <x:c r="R146" s="51" t="str">
        <x:f>IF(V146="Closed: excluded","",IF(ISNUMBER('STR Build'!L38),'STR Build'!L38,""))</x:f>
      </x:c>
      <x:c r="S146" s="42" t="str">
        <x:v>STR Build!L38</x:v>
      </x:c>
      <x:c r="T146" s="42" t="str">
        <x:v>Formula</x:v>
      </x:c>
      <x:c r="U146" s="67" t="str">
        <x:f>IF(ISNUMBER(R146),IF(R146=0,"Populated zero","Populated"),"Missing")</x:f>
        <x:v>Missing</x:v>
      </x:c>
      <x:c r="V146" s="67" t="str">
        <x:f>IF(AND(ISNUMBER('Drivers'!$D$12),E146&lt;='Drivers'!$D$12),"Closed: excluded","Open forecast")</x:f>
        <x:v>Open forecast</x:v>
      </x:c>
    </x:row>
    <x:row r="147" ht="22" customHeight="1">
      <x:c r="A147" s="42"/>
      <x:c r="B147" s="42"/>
      <x:c r="C147" s="42" t="str">
        <x:f>IF('Drivers'!$D$5="","",'Drivers'!$D$5)</x:f>
      </x:c>
      <x:c r="D147" s="42" t="str">
        <x:f>IF('Drivers'!$D$4="","",'Drivers'!$D$4)</x:f>
      </x:c>
      <x:c r="E147" s="69" t="n">
        <x:f>'STR Build'!L$6</x:f>
        <x:v>46569</x:v>
      </x:c>
      <x:c r="F147" s="42" t="str">
        <x:f>IF('Drivers'!$D$10="","",'Drivers'!$D$10)</x:f>
        <x:v>Working Draft</x:v>
      </x:c>
      <x:c r="G147" s="42" t="str">
        <x:f>IF('GL Mapping'!I15="",'GL Mapping'!C15,'GL Mapping'!I15)</x:f>
        <x:v>610400</x:v>
      </x:c>
      <x:c r="H147" s="42" t="str">
        <x:v>Supplies</x:v>
      </x:c>
      <x:c r="I147" s="42" t="str">
        <x:f>IF('Drivers'!$D$11="","",'Drivers'!$D$11)</x:f>
        <x:v>Short-Term Rentals</x:v>
      </x:c>
      <x:c r="J147" s="42" t="str">
        <x:f>IF('Drivers'!$D$8="","",'Drivers'!$D$8)</x:f>
        <x:v>USD</x:v>
      </x:c>
      <x:c r="K147" s="42" t="str">
        <x:f>IF('Drivers'!$D$21="","",'Drivers'!$D$21)</x:f>
        <x:v>Calendar</x:v>
      </x:c>
      <x:c r="L147" s="42" t="str">
        <x:f>IF('Drivers'!$D$9="","",'Drivers'!$D$9)</x:f>
        <x:v>Accrual</x:v>
      </x:c>
      <x:c r="M147" s="70" t="str">
        <x:f>IF('Drivers'!$D$12="","",'Drivers'!$D$12)</x:f>
      </x:c>
      <x:c r="N147" s="42" t="str">
        <x:f>IF('Drivers'!$D$15="","",'Drivers'!$D$15)</x:f>
      </x:c>
      <x:c r="O147" s="42" t="str">
        <x:v>expense</x:v>
      </x:c>
      <x:c r="P147" s="42" t="str">
        <x:v>above_noi</x:v>
      </x:c>
      <x:c r="Q147" s="42" t="n">
        <x:v>1</x:v>
      </x:c>
      <x:c r="R147" s="51" t="str">
        <x:f>IF(V147="Closed: excluded","",IF(ISNUMBER('STR Build'!L39),'STR Build'!L39,""))</x:f>
      </x:c>
      <x:c r="S147" s="42" t="str">
        <x:v>STR Build!L39</x:v>
      </x:c>
      <x:c r="T147" s="42" t="str">
        <x:v>Formula</x:v>
      </x:c>
      <x:c r="U147" s="67" t="str">
        <x:f>IF(ISNUMBER(R147),IF(R147=0,"Populated zero","Populated"),"Missing")</x:f>
        <x:v>Missing</x:v>
      </x:c>
      <x:c r="V147" s="67" t="str">
        <x:f>IF(AND(ISNUMBER('Drivers'!$D$12),E147&lt;='Drivers'!$D$12),"Closed: excluded","Open forecast")</x:f>
        <x:v>Open forecast</x:v>
      </x:c>
    </x:row>
    <x:row r="148" ht="22" customHeight="1">
      <x:c r="A148" s="42"/>
      <x:c r="B148" s="42"/>
      <x:c r="C148" s="42" t="str">
        <x:f>IF('Drivers'!$D$5="","",'Drivers'!$D$5)</x:f>
      </x:c>
      <x:c r="D148" s="42" t="str">
        <x:f>IF('Drivers'!$D$4="","",'Drivers'!$D$4)</x:f>
      </x:c>
      <x:c r="E148" s="69" t="n">
        <x:f>'STR Build'!L$6</x:f>
        <x:v>46569</x:v>
      </x:c>
      <x:c r="F148" s="42" t="str">
        <x:f>IF('Drivers'!$D$10="","",'Drivers'!$D$10)</x:f>
        <x:v>Working Draft</x:v>
      </x:c>
      <x:c r="G148" s="42" t="str">
        <x:f>IF('GL Mapping'!I16="",'GL Mapping'!C16,'GL Mapping'!I16)</x:f>
        <x:v>620100</x:v>
      </x:c>
      <x:c r="H148" s="42" t="str">
        <x:v>Payroll</x:v>
      </x:c>
      <x:c r="I148" s="42" t="str">
        <x:f>IF('Drivers'!$D$11="","",'Drivers'!$D$11)</x:f>
        <x:v>Short-Term Rentals</x:v>
      </x:c>
      <x:c r="J148" s="42" t="str">
        <x:f>IF('Drivers'!$D$8="","",'Drivers'!$D$8)</x:f>
        <x:v>USD</x:v>
      </x:c>
      <x:c r="K148" s="42" t="str">
        <x:f>IF('Drivers'!$D$21="","",'Drivers'!$D$21)</x:f>
        <x:v>Calendar</x:v>
      </x:c>
      <x:c r="L148" s="42" t="str">
        <x:f>IF('Drivers'!$D$9="","",'Drivers'!$D$9)</x:f>
        <x:v>Accrual</x:v>
      </x:c>
      <x:c r="M148" s="70" t="str">
        <x:f>IF('Drivers'!$D$12="","",'Drivers'!$D$12)</x:f>
      </x:c>
      <x:c r="N148" s="42" t="str">
        <x:f>IF('Drivers'!$D$15="","",'Drivers'!$D$15)</x:f>
      </x:c>
      <x:c r="O148" s="42" t="str">
        <x:v>expense</x:v>
      </x:c>
      <x:c r="P148" s="42" t="str">
        <x:v>above_noi</x:v>
      </x:c>
      <x:c r="Q148" s="42" t="n">
        <x:v>1</x:v>
      </x:c>
      <x:c r="R148" s="51" t="str">
        <x:f>IF(V148="Closed: excluded","",IF(ISNUMBER('STR Build'!L40),'STR Build'!L40,""))</x:f>
      </x:c>
      <x:c r="S148" s="42" t="str">
        <x:v>STR Build!L40</x:v>
      </x:c>
      <x:c r="T148" s="42" t="str">
        <x:v>Formula</x:v>
      </x:c>
      <x:c r="U148" s="67" t="str">
        <x:f>IF(ISNUMBER(R148),IF(R148=0,"Populated zero","Populated"),"Missing")</x:f>
        <x:v>Missing</x:v>
      </x:c>
      <x:c r="V148" s="67" t="str">
        <x:f>IF(AND(ISNUMBER('Drivers'!$D$12),E148&lt;='Drivers'!$D$12),"Closed: excluded","Open forecast")</x:f>
        <x:v>Open forecast</x:v>
      </x:c>
    </x:row>
    <x:row r="149" ht="22" customHeight="1">
      <x:c r="A149" s="42"/>
      <x:c r="B149" s="42"/>
      <x:c r="C149" s="42" t="str">
        <x:f>IF('Drivers'!$D$5="","",'Drivers'!$D$5)</x:f>
      </x:c>
      <x:c r="D149" s="42" t="str">
        <x:f>IF('Drivers'!$D$4="","",'Drivers'!$D$4)</x:f>
      </x:c>
      <x:c r="E149" s="69" t="n">
        <x:f>'STR Build'!L$6</x:f>
        <x:v>46569</x:v>
      </x:c>
      <x:c r="F149" s="42" t="str">
        <x:f>IF('Drivers'!$D$10="","",'Drivers'!$D$10)</x:f>
        <x:v>Working Draft</x:v>
      </x:c>
      <x:c r="G149" s="42" t="str">
        <x:f>IF('GL Mapping'!I17="",'GL Mapping'!C17,'GL Mapping'!I17)</x:f>
        <x:v>630100</x:v>
      </x:c>
      <x:c r="H149" s="42" t="str">
        <x:v>Utilities</x:v>
      </x:c>
      <x:c r="I149" s="42" t="str">
        <x:f>IF('Drivers'!$D$11="","",'Drivers'!$D$11)</x:f>
        <x:v>Short-Term Rentals</x:v>
      </x:c>
      <x:c r="J149" s="42" t="str">
        <x:f>IF('Drivers'!$D$8="","",'Drivers'!$D$8)</x:f>
        <x:v>USD</x:v>
      </x:c>
      <x:c r="K149" s="42" t="str">
        <x:f>IF('Drivers'!$D$21="","",'Drivers'!$D$21)</x:f>
        <x:v>Calendar</x:v>
      </x:c>
      <x:c r="L149" s="42" t="str">
        <x:f>IF('Drivers'!$D$9="","",'Drivers'!$D$9)</x:f>
        <x:v>Accrual</x:v>
      </x:c>
      <x:c r="M149" s="70" t="str">
        <x:f>IF('Drivers'!$D$12="","",'Drivers'!$D$12)</x:f>
      </x:c>
      <x:c r="N149" s="42" t="str">
        <x:f>IF('Drivers'!$D$15="","",'Drivers'!$D$15)</x:f>
      </x:c>
      <x:c r="O149" s="42" t="str">
        <x:v>expense</x:v>
      </x:c>
      <x:c r="P149" s="42" t="str">
        <x:v>above_noi</x:v>
      </x:c>
      <x:c r="Q149" s="42" t="n">
        <x:v>1</x:v>
      </x:c>
      <x:c r="R149" s="51" t="str">
        <x:f>IF(V149="Closed: excluded","",IF(ISNUMBER('STR Build'!L41),'STR Build'!L41,""))</x:f>
      </x:c>
      <x:c r="S149" s="42" t="str">
        <x:v>STR Build!L41</x:v>
      </x:c>
      <x:c r="T149" s="42" t="str">
        <x:v>Formula</x:v>
      </x:c>
      <x:c r="U149" s="67" t="str">
        <x:f>IF(ISNUMBER(R149),IF(R149=0,"Populated zero","Populated"),"Missing")</x:f>
        <x:v>Missing</x:v>
      </x:c>
      <x:c r="V149" s="67" t="str">
        <x:f>IF(AND(ISNUMBER('Drivers'!$D$12),E149&lt;='Drivers'!$D$12),"Closed: excluded","Open forecast")</x:f>
        <x:v>Open forecast</x:v>
      </x:c>
    </x:row>
    <x:row r="150" ht="22" customHeight="1">
      <x:c r="A150" s="42"/>
      <x:c r="B150" s="42"/>
      <x:c r="C150" s="42" t="str">
        <x:f>IF('Drivers'!$D$5="","",'Drivers'!$D$5)</x:f>
      </x:c>
      <x:c r="D150" s="42" t="str">
        <x:f>IF('Drivers'!$D$4="","",'Drivers'!$D$4)</x:f>
      </x:c>
      <x:c r="E150" s="69" t="n">
        <x:f>'STR Build'!L$6</x:f>
        <x:v>46569</x:v>
      </x:c>
      <x:c r="F150" s="42" t="str">
        <x:f>IF('Drivers'!$D$10="","",'Drivers'!$D$10)</x:f>
        <x:v>Working Draft</x:v>
      </x:c>
      <x:c r="G150" s="42" t="str">
        <x:f>IF('GL Mapping'!I18="",'GL Mapping'!C18,'GL Mapping'!I18)</x:f>
        <x:v>640100</x:v>
      </x:c>
      <x:c r="H150" s="42" t="str">
        <x:v>Contracts</x:v>
      </x:c>
      <x:c r="I150" s="42" t="str">
        <x:f>IF('Drivers'!$D$11="","",'Drivers'!$D$11)</x:f>
        <x:v>Short-Term Rentals</x:v>
      </x:c>
      <x:c r="J150" s="42" t="str">
        <x:f>IF('Drivers'!$D$8="","",'Drivers'!$D$8)</x:f>
        <x:v>USD</x:v>
      </x:c>
      <x:c r="K150" s="42" t="str">
        <x:f>IF('Drivers'!$D$21="","",'Drivers'!$D$21)</x:f>
        <x:v>Calendar</x:v>
      </x:c>
      <x:c r="L150" s="42" t="str">
        <x:f>IF('Drivers'!$D$9="","",'Drivers'!$D$9)</x:f>
        <x:v>Accrual</x:v>
      </x:c>
      <x:c r="M150" s="70" t="str">
        <x:f>IF('Drivers'!$D$12="","",'Drivers'!$D$12)</x:f>
      </x:c>
      <x:c r="N150" s="42" t="str">
        <x:f>IF('Drivers'!$D$15="","",'Drivers'!$D$15)</x:f>
      </x:c>
      <x:c r="O150" s="42" t="str">
        <x:v>expense</x:v>
      </x:c>
      <x:c r="P150" s="42" t="str">
        <x:v>above_noi</x:v>
      </x:c>
      <x:c r="Q150" s="42" t="n">
        <x:v>1</x:v>
      </x:c>
      <x:c r="R150" s="51" t="str">
        <x:f>IF(V150="Closed: excluded","",IF(ISNUMBER('STR Build'!L42),'STR Build'!L42,""))</x:f>
      </x:c>
      <x:c r="S150" s="42" t="str">
        <x:v>STR Build!L42</x:v>
      </x:c>
      <x:c r="T150" s="42" t="str">
        <x:v>Formula</x:v>
      </x:c>
      <x:c r="U150" s="67" t="str">
        <x:f>IF(ISNUMBER(R150),IF(R150=0,"Populated zero","Populated"),"Missing")</x:f>
        <x:v>Missing</x:v>
      </x:c>
      <x:c r="V150" s="67" t="str">
        <x:f>IF(AND(ISNUMBER('Drivers'!$D$12),E150&lt;='Drivers'!$D$12),"Closed: excluded","Open forecast")</x:f>
        <x:v>Open forecast</x:v>
      </x:c>
    </x:row>
    <x:row r="151" ht="22" customHeight="1">
      <x:c r="A151" s="42"/>
      <x:c r="B151" s="42"/>
      <x:c r="C151" s="42" t="str">
        <x:f>IF('Drivers'!$D$5="","",'Drivers'!$D$5)</x:f>
      </x:c>
      <x:c r="D151" s="42" t="str">
        <x:f>IF('Drivers'!$D$4="","",'Drivers'!$D$4)</x:f>
      </x:c>
      <x:c r="E151" s="69" t="n">
        <x:f>'STR Build'!L$6</x:f>
        <x:v>46569</x:v>
      </x:c>
      <x:c r="F151" s="42" t="str">
        <x:f>IF('Drivers'!$D$10="","",'Drivers'!$D$10)</x:f>
        <x:v>Working Draft</x:v>
      </x:c>
      <x:c r="G151" s="42" t="str">
        <x:f>IF('GL Mapping'!I19="",'GL Mapping'!C19,'GL Mapping'!I19)</x:f>
        <x:v>650100</x:v>
      </x:c>
      <x:c r="H151" s="42" t="str">
        <x:v>Marketing</x:v>
      </x:c>
      <x:c r="I151" s="42" t="str">
        <x:f>IF('Drivers'!$D$11="","",'Drivers'!$D$11)</x:f>
        <x:v>Short-Term Rentals</x:v>
      </x:c>
      <x:c r="J151" s="42" t="str">
        <x:f>IF('Drivers'!$D$8="","",'Drivers'!$D$8)</x:f>
        <x:v>USD</x:v>
      </x:c>
      <x:c r="K151" s="42" t="str">
        <x:f>IF('Drivers'!$D$21="","",'Drivers'!$D$21)</x:f>
        <x:v>Calendar</x:v>
      </x:c>
      <x:c r="L151" s="42" t="str">
        <x:f>IF('Drivers'!$D$9="","",'Drivers'!$D$9)</x:f>
        <x:v>Accrual</x:v>
      </x:c>
      <x:c r="M151" s="70" t="str">
        <x:f>IF('Drivers'!$D$12="","",'Drivers'!$D$12)</x:f>
      </x:c>
      <x:c r="N151" s="42" t="str">
        <x:f>IF('Drivers'!$D$15="","",'Drivers'!$D$15)</x:f>
      </x:c>
      <x:c r="O151" s="42" t="str">
        <x:v>expense</x:v>
      </x:c>
      <x:c r="P151" s="42" t="str">
        <x:v>above_noi</x:v>
      </x:c>
      <x:c r="Q151" s="42" t="n">
        <x:v>1</x:v>
      </x:c>
      <x:c r="R151" s="51" t="str">
        <x:f>IF(V151="Closed: excluded","",IF(ISNUMBER('STR Build'!L43),'STR Build'!L43,""))</x:f>
      </x:c>
      <x:c r="S151" s="42" t="str">
        <x:v>STR Build!L43</x:v>
      </x:c>
      <x:c r="T151" s="42" t="str">
        <x:v>Formula</x:v>
      </x:c>
      <x:c r="U151" s="67" t="str">
        <x:f>IF(ISNUMBER(R151),IF(R151=0,"Populated zero","Populated"),"Missing")</x:f>
        <x:v>Missing</x:v>
      </x:c>
      <x:c r="V151" s="67" t="str">
        <x:f>IF(AND(ISNUMBER('Drivers'!$D$12),E151&lt;='Drivers'!$D$12),"Closed: excluded","Open forecast")</x:f>
        <x:v>Open forecast</x:v>
      </x:c>
    </x:row>
    <x:row r="152" ht="22" customHeight="1">
      <x:c r="A152" s="42"/>
      <x:c r="B152" s="42"/>
      <x:c r="C152" s="42" t="str">
        <x:f>IF('Drivers'!$D$5="","",'Drivers'!$D$5)</x:f>
      </x:c>
      <x:c r="D152" s="42" t="str">
        <x:f>IF('Drivers'!$D$4="","",'Drivers'!$D$4)</x:f>
      </x:c>
      <x:c r="E152" s="69" t="n">
        <x:f>'STR Build'!L$6</x:f>
        <x:v>46569</x:v>
      </x:c>
      <x:c r="F152" s="42" t="str">
        <x:f>IF('Drivers'!$D$10="","",'Drivers'!$D$10)</x:f>
        <x:v>Working Draft</x:v>
      </x:c>
      <x:c r="G152" s="42" t="str">
        <x:f>IF('GL Mapping'!I20="",'GL Mapping'!C20,'GL Mapping'!I20)</x:f>
        <x:v>660100</x:v>
      </x:c>
      <x:c r="H152" s="42" t="str">
        <x:v>Maintenance</x:v>
      </x:c>
      <x:c r="I152" s="42" t="str">
        <x:f>IF('Drivers'!$D$11="","",'Drivers'!$D$11)</x:f>
        <x:v>Short-Term Rentals</x:v>
      </x:c>
      <x:c r="J152" s="42" t="str">
        <x:f>IF('Drivers'!$D$8="","",'Drivers'!$D$8)</x:f>
        <x:v>USD</x:v>
      </x:c>
      <x:c r="K152" s="42" t="str">
        <x:f>IF('Drivers'!$D$21="","",'Drivers'!$D$21)</x:f>
        <x:v>Calendar</x:v>
      </x:c>
      <x:c r="L152" s="42" t="str">
        <x:f>IF('Drivers'!$D$9="","",'Drivers'!$D$9)</x:f>
        <x:v>Accrual</x:v>
      </x:c>
      <x:c r="M152" s="70" t="str">
        <x:f>IF('Drivers'!$D$12="","",'Drivers'!$D$12)</x:f>
      </x:c>
      <x:c r="N152" s="42" t="str">
        <x:f>IF('Drivers'!$D$15="","",'Drivers'!$D$15)</x:f>
      </x:c>
      <x:c r="O152" s="42" t="str">
        <x:v>expense</x:v>
      </x:c>
      <x:c r="P152" s="42" t="str">
        <x:v>above_noi</x:v>
      </x:c>
      <x:c r="Q152" s="42" t="n">
        <x:v>1</x:v>
      </x:c>
      <x:c r="R152" s="51" t="str">
        <x:f>IF(V152="Closed: excluded","",IF(ISNUMBER('STR Build'!L44),'STR Build'!L44,""))</x:f>
      </x:c>
      <x:c r="S152" s="42" t="str">
        <x:v>STR Build!L44</x:v>
      </x:c>
      <x:c r="T152" s="42" t="str">
        <x:v>Formula</x:v>
      </x:c>
      <x:c r="U152" s="67" t="str">
        <x:f>IF(ISNUMBER(R152),IF(R152=0,"Populated zero","Populated"),"Missing")</x:f>
        <x:v>Missing</x:v>
      </x:c>
      <x:c r="V152" s="67" t="str">
        <x:f>IF(AND(ISNUMBER('Drivers'!$D$12),E152&lt;='Drivers'!$D$12),"Closed: excluded","Open forecast")</x:f>
        <x:v>Open forecast</x:v>
      </x:c>
    </x:row>
    <x:row r="153" ht="22" customHeight="1">
      <x:c r="A153" s="42"/>
      <x:c r="B153" s="42"/>
      <x:c r="C153" s="42" t="str">
        <x:f>IF('Drivers'!$D$5="","",'Drivers'!$D$5)</x:f>
      </x:c>
      <x:c r="D153" s="42" t="str">
        <x:f>IF('Drivers'!$D$4="","",'Drivers'!$D$4)</x:f>
      </x:c>
      <x:c r="E153" s="69" t="n">
        <x:f>'STR Build'!L$6</x:f>
        <x:v>46569</x:v>
      </x:c>
      <x:c r="F153" s="42" t="str">
        <x:f>IF('Drivers'!$D$10="","",'Drivers'!$D$10)</x:f>
        <x:v>Working Draft</x:v>
      </x:c>
      <x:c r="G153" s="42" t="str">
        <x:f>IF('GL Mapping'!I21="",'GL Mapping'!C21,'GL Mapping'!I21)</x:f>
        <x:v>670100</x:v>
      </x:c>
      <x:c r="H153" s="42" t="str">
        <x:v>Insurance</x:v>
      </x:c>
      <x:c r="I153" s="42" t="str">
        <x:f>IF('Drivers'!$D$11="","",'Drivers'!$D$11)</x:f>
        <x:v>Short-Term Rentals</x:v>
      </x:c>
      <x:c r="J153" s="42" t="str">
        <x:f>IF('Drivers'!$D$8="","",'Drivers'!$D$8)</x:f>
        <x:v>USD</x:v>
      </x:c>
      <x:c r="K153" s="42" t="str">
        <x:f>IF('Drivers'!$D$21="","",'Drivers'!$D$21)</x:f>
        <x:v>Calendar</x:v>
      </x:c>
      <x:c r="L153" s="42" t="str">
        <x:f>IF('Drivers'!$D$9="","",'Drivers'!$D$9)</x:f>
        <x:v>Accrual</x:v>
      </x:c>
      <x:c r="M153" s="70" t="str">
        <x:f>IF('Drivers'!$D$12="","",'Drivers'!$D$12)</x:f>
      </x:c>
      <x:c r="N153" s="42" t="str">
        <x:f>IF('Drivers'!$D$15="","",'Drivers'!$D$15)</x:f>
      </x:c>
      <x:c r="O153" s="42" t="str">
        <x:v>expense</x:v>
      </x:c>
      <x:c r="P153" s="42" t="str">
        <x:v>above_noi</x:v>
      </x:c>
      <x:c r="Q153" s="42" t="n">
        <x:v>1</x:v>
      </x:c>
      <x:c r="R153" s="51" t="str">
        <x:f>IF(V153="Closed: excluded","",IF(ISNUMBER('STR Build'!L45),'STR Build'!L45,""))</x:f>
      </x:c>
      <x:c r="S153" s="42" t="str">
        <x:v>STR Build!L45</x:v>
      </x:c>
      <x:c r="T153" s="42" t="str">
        <x:v>Formula</x:v>
      </x:c>
      <x:c r="U153" s="67" t="str">
        <x:f>IF(ISNUMBER(R153),IF(R153=0,"Populated zero","Populated"),"Missing")</x:f>
        <x:v>Missing</x:v>
      </x:c>
      <x:c r="V153" s="67" t="str">
        <x:f>IF(AND(ISNUMBER('Drivers'!$D$12),E153&lt;='Drivers'!$D$12),"Closed: excluded","Open forecast")</x:f>
        <x:v>Open forecast</x:v>
      </x:c>
    </x:row>
    <x:row r="154" ht="22" customHeight="1">
      <x:c r="A154" s="42"/>
      <x:c r="B154" s="42"/>
      <x:c r="C154" s="42" t="str">
        <x:f>IF('Drivers'!$D$5="","",'Drivers'!$D$5)</x:f>
      </x:c>
      <x:c r="D154" s="42" t="str">
        <x:f>IF('Drivers'!$D$4="","",'Drivers'!$D$4)</x:f>
      </x:c>
      <x:c r="E154" s="69" t="n">
        <x:f>'STR Build'!L$6</x:f>
        <x:v>46569</x:v>
      </x:c>
      <x:c r="F154" s="42" t="str">
        <x:f>IF('Drivers'!$D$10="","",'Drivers'!$D$10)</x:f>
        <x:v>Working Draft</x:v>
      </x:c>
      <x:c r="G154" s="42" t="str">
        <x:f>IF('GL Mapping'!I22="",'GL Mapping'!C22,'GL Mapping'!I22)</x:f>
        <x:v>680100</x:v>
      </x:c>
      <x:c r="H154" s="42" t="str">
        <x:v>Property taxes</x:v>
      </x:c>
      <x:c r="I154" s="42" t="str">
        <x:f>IF('Drivers'!$D$11="","",'Drivers'!$D$11)</x:f>
        <x:v>Short-Term Rentals</x:v>
      </x:c>
      <x:c r="J154" s="42" t="str">
        <x:f>IF('Drivers'!$D$8="","",'Drivers'!$D$8)</x:f>
        <x:v>USD</x:v>
      </x:c>
      <x:c r="K154" s="42" t="str">
        <x:f>IF('Drivers'!$D$21="","",'Drivers'!$D$21)</x:f>
        <x:v>Calendar</x:v>
      </x:c>
      <x:c r="L154" s="42" t="str">
        <x:f>IF('Drivers'!$D$9="","",'Drivers'!$D$9)</x:f>
        <x:v>Accrual</x:v>
      </x:c>
      <x:c r="M154" s="70" t="str">
        <x:f>IF('Drivers'!$D$12="","",'Drivers'!$D$12)</x:f>
      </x:c>
      <x:c r="N154" s="42" t="str">
        <x:f>IF('Drivers'!$D$15="","",'Drivers'!$D$15)</x:f>
      </x:c>
      <x:c r="O154" s="42" t="str">
        <x:v>expense</x:v>
      </x:c>
      <x:c r="P154" s="42" t="str">
        <x:v>above_noi</x:v>
      </x:c>
      <x:c r="Q154" s="42" t="n">
        <x:v>1</x:v>
      </x:c>
      <x:c r="R154" s="51" t="str">
        <x:f>IF(V154="Closed: excluded","",IF(ISNUMBER('STR Build'!L46),'STR Build'!L46,""))</x:f>
      </x:c>
      <x:c r="S154" s="42" t="str">
        <x:v>STR Build!L46</x:v>
      </x:c>
      <x:c r="T154" s="42" t="str">
        <x:v>Formula</x:v>
      </x:c>
      <x:c r="U154" s="67" t="str">
        <x:f>IF(ISNUMBER(R154),IF(R154=0,"Populated zero","Populated"),"Missing")</x:f>
        <x:v>Missing</x:v>
      </x:c>
      <x:c r="V154" s="67" t="str">
        <x:f>IF(AND(ISNUMBER('Drivers'!$D$12),E154&lt;='Drivers'!$D$12),"Closed: excluded","Open forecast")</x:f>
        <x:v>Open forecast</x:v>
      </x:c>
    </x:row>
    <x:row r="155" ht="22" customHeight="1">
      <x:c r="A155" s="42"/>
      <x:c r="B155" s="42"/>
      <x:c r="C155" s="42" t="str">
        <x:f>IF('Drivers'!$D$5="","",'Drivers'!$D$5)</x:f>
      </x:c>
      <x:c r="D155" s="42" t="str">
        <x:f>IF('Drivers'!$D$4="","",'Drivers'!$D$4)</x:f>
      </x:c>
      <x:c r="E155" s="69" t="n">
        <x:f>'STR Build'!L$6</x:f>
        <x:v>46569</x:v>
      </x:c>
      <x:c r="F155" s="42" t="str">
        <x:f>IF('Drivers'!$D$10="","",'Drivers'!$D$10)</x:f>
        <x:v>Working Draft</x:v>
      </x:c>
      <x:c r="G155" s="42" t="str">
        <x:f>IF('GL Mapping'!I23="",'GL Mapping'!C23,'GL Mapping'!I23)</x:f>
        <x:v>690100</x:v>
      </x:c>
      <x:c r="H155" s="42" t="str">
        <x:v>Other operating expenses</x:v>
      </x:c>
      <x:c r="I155" s="42" t="str">
        <x:f>IF('Drivers'!$D$11="","",'Drivers'!$D$11)</x:f>
        <x:v>Short-Term Rentals</x:v>
      </x:c>
      <x:c r="J155" s="42" t="str">
        <x:f>IF('Drivers'!$D$8="","",'Drivers'!$D$8)</x:f>
        <x:v>USD</x:v>
      </x:c>
      <x:c r="K155" s="42" t="str">
        <x:f>IF('Drivers'!$D$21="","",'Drivers'!$D$21)</x:f>
        <x:v>Calendar</x:v>
      </x:c>
      <x:c r="L155" s="42" t="str">
        <x:f>IF('Drivers'!$D$9="","",'Drivers'!$D$9)</x:f>
        <x:v>Accrual</x:v>
      </x:c>
      <x:c r="M155" s="70" t="str">
        <x:f>IF('Drivers'!$D$12="","",'Drivers'!$D$12)</x:f>
      </x:c>
      <x:c r="N155" s="42" t="str">
        <x:f>IF('Drivers'!$D$15="","",'Drivers'!$D$15)</x:f>
      </x:c>
      <x:c r="O155" s="42" t="str">
        <x:v>expense</x:v>
      </x:c>
      <x:c r="P155" s="42" t="str">
        <x:v>above_noi</x:v>
      </x:c>
      <x:c r="Q155" s="42" t="n">
        <x:v>1</x:v>
      </x:c>
      <x:c r="R155" s="51" t="str">
        <x:f>IF(V155="Closed: excluded","",IF(ISNUMBER('STR Build'!L47),'STR Build'!L47,""))</x:f>
      </x:c>
      <x:c r="S155" s="42" t="str">
        <x:v>STR Build!L47</x:v>
      </x:c>
      <x:c r="T155" s="42" t="str">
        <x:v>Formula</x:v>
      </x:c>
      <x:c r="U155" s="67" t="str">
        <x:f>IF(ISNUMBER(R155),IF(R155=0,"Populated zero","Populated"),"Missing")</x:f>
        <x:v>Missing</x:v>
      </x:c>
      <x:c r="V155" s="67" t="str">
        <x:f>IF(AND(ISNUMBER('Drivers'!$D$12),E155&lt;='Drivers'!$D$12),"Closed: excluded","Open forecast")</x:f>
        <x:v>Open forecast</x:v>
      </x:c>
    </x:row>
    <x:row r="156" ht="22" customHeight="1">
      <x:c r="A156" s="42"/>
      <x:c r="B156" s="42"/>
      <x:c r="C156" s="42" t="str">
        <x:f>IF('Drivers'!$D$5="","",'Drivers'!$D$5)</x:f>
      </x:c>
      <x:c r="D156" s="42" t="str">
        <x:f>IF('Drivers'!$D$4="","",'Drivers'!$D$4)</x:f>
      </x:c>
      <x:c r="E156" s="69" t="n">
        <x:f>'STR Build'!L$6</x:f>
        <x:v>46569</x:v>
      </x:c>
      <x:c r="F156" s="42" t="str">
        <x:f>IF('Drivers'!$D$10="","",'Drivers'!$D$10)</x:f>
        <x:v>Working Draft</x:v>
      </x:c>
      <x:c r="G156" s="42" t="str">
        <x:f>IF('GL Mapping'!I24="",'GL Mapping'!C24,'GL Mapping'!I24)</x:f>
        <x:v>710100</x:v>
      </x:c>
      <x:c r="H156" s="42" t="str">
        <x:v>Other below-NOI cash costs</x:v>
      </x:c>
      <x:c r="I156" s="42" t="str">
        <x:f>IF('Drivers'!$D$11="","",'Drivers'!$D$11)</x:f>
        <x:v>Short-Term Rentals</x:v>
      </x:c>
      <x:c r="J156" s="42" t="str">
        <x:f>IF('Drivers'!$D$8="","",'Drivers'!$D$8)</x:f>
        <x:v>USD</x:v>
      </x:c>
      <x:c r="K156" s="42" t="str">
        <x:f>IF('Drivers'!$D$21="","",'Drivers'!$D$21)</x:f>
        <x:v>Calendar</x:v>
      </x:c>
      <x:c r="L156" s="42" t="str">
        <x:f>IF('Drivers'!$D$9="","",'Drivers'!$D$9)</x:f>
        <x:v>Accrual</x:v>
      </x:c>
      <x:c r="M156" s="70" t="str">
        <x:f>IF('Drivers'!$D$12="","",'Drivers'!$D$12)</x:f>
      </x:c>
      <x:c r="N156" s="42" t="str">
        <x:f>IF('Drivers'!$D$15="","",'Drivers'!$D$15)</x:f>
      </x:c>
      <x:c r="O156" s="42" t="str">
        <x:v>below_noi</x:v>
      </x:c>
      <x:c r="P156" s="42" t="str">
        <x:v>below_noi</x:v>
      </x:c>
      <x:c r="Q156" s="42" t="n">
        <x:v>1</x:v>
      </x:c>
      <x:c r="R156" s="51" t="str">
        <x:f>IF(V156="Closed: excluded","",IF(ISNUMBER('STR Build'!L55),'STR Build'!L55,""))</x:f>
      </x:c>
      <x:c r="S156" s="42" t="str">
        <x:v>STR Build!L55</x:v>
      </x:c>
      <x:c r="T156" s="42" t="str">
        <x:v>Formula</x:v>
      </x:c>
      <x:c r="U156" s="67" t="str">
        <x:f>IF(ISNUMBER(R156),IF(R156=0,"Populated zero","Populated"),"Missing")</x:f>
        <x:v>Missing</x:v>
      </x:c>
      <x:c r="V156" s="67" t="str">
        <x:f>IF(AND(ISNUMBER('Drivers'!$D$12),E156&lt;='Drivers'!$D$12),"Closed: excluded","Open forecast")</x:f>
        <x:v>Open forecast</x:v>
      </x:c>
    </x:row>
    <x:row r="157" ht="22" customHeight="1">
      <x:c r="A157" s="42"/>
      <x:c r="B157" s="42"/>
      <x:c r="C157" s="42" t="str">
        <x:f>IF('Drivers'!$D$5="","",'Drivers'!$D$5)</x:f>
      </x:c>
      <x:c r="D157" s="42" t="str">
        <x:f>IF('Drivers'!$D$4="","",'Drivers'!$D$4)</x:f>
      </x:c>
      <x:c r="E157" s="69" t="n">
        <x:f>'STR Build'!L$6</x:f>
        <x:v>46569</x:v>
      </x:c>
      <x:c r="F157" s="42" t="str">
        <x:f>IF('Drivers'!$D$10="","",'Drivers'!$D$10)</x:f>
        <x:v>Working Draft</x:v>
      </x:c>
      <x:c r="G157" s="42" t="str">
        <x:f>IF('GL Mapping'!I25="",'GL Mapping'!C25,'GL Mapping'!I25)</x:f>
        <x:v>720100</x:v>
      </x:c>
      <x:c r="H157" s="42" t="str">
        <x:v>Debt interest</x:v>
      </x:c>
      <x:c r="I157" s="42" t="str">
        <x:f>IF('Drivers'!$D$11="","",'Drivers'!$D$11)</x:f>
        <x:v>Short-Term Rentals</x:v>
      </x:c>
      <x:c r="J157" s="42" t="str">
        <x:f>IF('Drivers'!$D$8="","",'Drivers'!$D$8)</x:f>
        <x:v>USD</x:v>
      </x:c>
      <x:c r="K157" s="42" t="str">
        <x:f>IF('Drivers'!$D$21="","",'Drivers'!$D$21)</x:f>
        <x:v>Calendar</x:v>
      </x:c>
      <x:c r="L157" s="42" t="str">
        <x:f>IF('Drivers'!$D$9="","",'Drivers'!$D$9)</x:f>
        <x:v>Accrual</x:v>
      </x:c>
      <x:c r="M157" s="70" t="str">
        <x:f>IF('Drivers'!$D$12="","",'Drivers'!$D$12)</x:f>
      </x:c>
      <x:c r="N157" s="42" t="str">
        <x:f>IF('Drivers'!$D$15="","",'Drivers'!$D$15)</x:f>
      </x:c>
      <x:c r="O157" s="42" t="str">
        <x:v>debt</x:v>
      </x:c>
      <x:c r="P157" s="42" t="str">
        <x:v>below_noi</x:v>
      </x:c>
      <x:c r="Q157" s="42" t="n">
        <x:v>1</x:v>
      </x:c>
      <x:c r="R157" s="51" t="str">
        <x:f>IF(V157="Closed: excluded","",IF(ISNUMBER('STR Build'!L56),'STR Build'!L56,""))</x:f>
      </x:c>
      <x:c r="S157" s="42" t="str">
        <x:v>STR Build!L56</x:v>
      </x:c>
      <x:c r="T157" s="42" t="str">
        <x:v>Formula</x:v>
      </x:c>
      <x:c r="U157" s="67" t="str">
        <x:f>IF(ISNUMBER(R157),IF(R157=0,"Populated zero","Populated"),"Missing")</x:f>
        <x:v>Missing</x:v>
      </x:c>
      <x:c r="V157" s="67" t="str">
        <x:f>IF(AND(ISNUMBER('Drivers'!$D$12),E157&lt;='Drivers'!$D$12),"Closed: excluded","Open forecast")</x:f>
        <x:v>Open forecast</x:v>
      </x:c>
    </x:row>
    <x:row r="158" ht="22" customHeight="1">
      <x:c r="A158" s="42"/>
      <x:c r="B158" s="42"/>
      <x:c r="C158" s="42" t="str">
        <x:f>IF('Drivers'!$D$5="","",'Drivers'!$D$5)</x:f>
      </x:c>
      <x:c r="D158" s="42" t="str">
        <x:f>IF('Drivers'!$D$4="","",'Drivers'!$D$4)</x:f>
      </x:c>
      <x:c r="E158" s="69" t="n">
        <x:f>'STR Build'!L$6</x:f>
        <x:v>46569</x:v>
      </x:c>
      <x:c r="F158" s="42" t="str">
        <x:f>IF('Drivers'!$D$10="","",'Drivers'!$D$10)</x:f>
        <x:v>Working Draft</x:v>
      </x:c>
      <x:c r="G158" s="42" t="str">
        <x:f>IF('GL Mapping'!I26="",'GL Mapping'!C26,'GL Mapping'!I26)</x:f>
        <x:v>720200</x:v>
      </x:c>
      <x:c r="H158" s="42" t="str">
        <x:v>Debt principal</x:v>
      </x:c>
      <x:c r="I158" s="42" t="str">
        <x:f>IF('Drivers'!$D$11="","",'Drivers'!$D$11)</x:f>
        <x:v>Short-Term Rentals</x:v>
      </x:c>
      <x:c r="J158" s="42" t="str">
        <x:f>IF('Drivers'!$D$8="","",'Drivers'!$D$8)</x:f>
        <x:v>USD</x:v>
      </x:c>
      <x:c r="K158" s="42" t="str">
        <x:f>IF('Drivers'!$D$21="","",'Drivers'!$D$21)</x:f>
        <x:v>Calendar</x:v>
      </x:c>
      <x:c r="L158" s="42" t="str">
        <x:f>IF('Drivers'!$D$9="","",'Drivers'!$D$9)</x:f>
        <x:v>Accrual</x:v>
      </x:c>
      <x:c r="M158" s="70" t="str">
        <x:f>IF('Drivers'!$D$12="","",'Drivers'!$D$12)</x:f>
      </x:c>
      <x:c r="N158" s="42" t="str">
        <x:f>IF('Drivers'!$D$15="","",'Drivers'!$D$15)</x:f>
      </x:c>
      <x:c r="O158" s="42" t="str">
        <x:v>debt</x:v>
      </x:c>
      <x:c r="P158" s="42" t="str">
        <x:v>below_noi</x:v>
      </x:c>
      <x:c r="Q158" s="42" t="n">
        <x:v>1</x:v>
      </x:c>
      <x:c r="R158" s="51" t="str">
        <x:f>IF(V158="Closed: excluded","",IF(ISNUMBER('STR Build'!L57),'STR Build'!L57,""))</x:f>
      </x:c>
      <x:c r="S158" s="42" t="str">
        <x:v>STR Build!L57</x:v>
      </x:c>
      <x:c r="T158" s="42" t="str">
        <x:v>Formula</x:v>
      </x:c>
      <x:c r="U158" s="67" t="str">
        <x:f>IF(ISNUMBER(R158),IF(R158=0,"Populated zero","Populated"),"Missing")</x:f>
        <x:v>Missing</x:v>
      </x:c>
      <x:c r="V158" s="67" t="str">
        <x:f>IF(AND(ISNUMBER('Drivers'!$D$12),E158&lt;='Drivers'!$D$12),"Closed: excluded","Open forecast")</x:f>
        <x:v>Open forecast</x:v>
      </x:c>
    </x:row>
    <x:row r="159" ht="22" customHeight="1">
      <x:c r="A159" s="42"/>
      <x:c r="B159" s="42"/>
      <x:c r="C159" s="42" t="str">
        <x:f>IF('Drivers'!$D$5="","",'Drivers'!$D$5)</x:f>
      </x:c>
      <x:c r="D159" s="42" t="str">
        <x:f>IF('Drivers'!$D$4="","",'Drivers'!$D$4)</x:f>
      </x:c>
      <x:c r="E159" s="69" t="n">
        <x:f>'STR Build'!L$6</x:f>
        <x:v>46569</x:v>
      </x:c>
      <x:c r="F159" s="42" t="str">
        <x:f>IF('Drivers'!$D$10="","",'Drivers'!$D$10)</x:f>
        <x:v>Working Draft</x:v>
      </x:c>
      <x:c r="G159" s="42" t="str">
        <x:f>IF('GL Mapping'!I27="",'GL Mapping'!C27,'GL Mapping'!I27)</x:f>
        <x:v>730100</x:v>
      </x:c>
      <x:c r="H159" s="42" t="str">
        <x:v>Capital expenditure</x:v>
      </x:c>
      <x:c r="I159" s="42" t="str">
        <x:f>IF('Drivers'!$D$11="","",'Drivers'!$D$11)</x:f>
        <x:v>Short-Term Rentals</x:v>
      </x:c>
      <x:c r="J159" s="42" t="str">
        <x:f>IF('Drivers'!$D$8="","",'Drivers'!$D$8)</x:f>
        <x:v>USD</x:v>
      </x:c>
      <x:c r="K159" s="42" t="str">
        <x:f>IF('Drivers'!$D$21="","",'Drivers'!$D$21)</x:f>
        <x:v>Calendar</x:v>
      </x:c>
      <x:c r="L159" s="42" t="str">
        <x:f>IF('Drivers'!$D$9="","",'Drivers'!$D$9)</x:f>
        <x:v>Accrual</x:v>
      </x:c>
      <x:c r="M159" s="70" t="str">
        <x:f>IF('Drivers'!$D$12="","",'Drivers'!$D$12)</x:f>
      </x:c>
      <x:c r="N159" s="42" t="str">
        <x:f>IF('Drivers'!$D$15="","",'Drivers'!$D$15)</x:f>
      </x:c>
      <x:c r="O159" s="42" t="str">
        <x:v>capital</x:v>
      </x:c>
      <x:c r="P159" s="42" t="str">
        <x:v>below_noi</x:v>
      </x:c>
      <x:c r="Q159" s="42" t="n">
        <x:v>1</x:v>
      </x:c>
      <x:c r="R159" s="51" t="str">
        <x:f>IF(V159="Closed: excluded","",IF(ISNUMBER('STR Build'!L58),'STR Build'!L58,""))</x:f>
      </x:c>
      <x:c r="S159" s="42" t="str">
        <x:v>STR Build!L58</x:v>
      </x:c>
      <x:c r="T159" s="42" t="str">
        <x:v>Formula</x:v>
      </x:c>
      <x:c r="U159" s="67" t="str">
        <x:f>IF(ISNUMBER(R159),IF(R159=0,"Populated zero","Populated"),"Missing")</x:f>
        <x:v>Missing</x:v>
      </x:c>
      <x:c r="V159" s="67" t="str">
        <x:f>IF(AND(ISNUMBER('Drivers'!$D$12),E159&lt;='Drivers'!$D$12),"Closed: excluded","Open forecast")</x:f>
        <x:v>Open forecast</x:v>
      </x:c>
    </x:row>
    <x:row r="160" ht="22" customHeight="1">
      <x:c r="A160" s="42"/>
      <x:c r="B160" s="42"/>
      <x:c r="C160" s="42" t="str">
        <x:f>IF('Drivers'!$D$5="","",'Drivers'!$D$5)</x:f>
      </x:c>
      <x:c r="D160" s="42" t="str">
        <x:f>IF('Drivers'!$D$4="","",'Drivers'!$D$4)</x:f>
      </x:c>
      <x:c r="E160" s="69" t="n">
        <x:f>'STR Build'!L$6</x:f>
        <x:v>46569</x:v>
      </x:c>
      <x:c r="F160" s="42" t="str">
        <x:f>IF('Drivers'!$D$10="","",'Drivers'!$D$10)</x:f>
        <x:v>Working Draft</x:v>
      </x:c>
      <x:c r="G160" s="42" t="str">
        <x:f>IF('GL Mapping'!I28="",'GL Mapping'!C28,'GL Mapping'!I28)</x:f>
        <x:v>740100</x:v>
      </x:c>
      <x:c r="H160" s="42" t="str">
        <x:v>Working-capital cash use</x:v>
      </x:c>
      <x:c r="I160" s="42" t="str">
        <x:f>IF('Drivers'!$D$11="","",'Drivers'!$D$11)</x:f>
        <x:v>Short-Term Rentals</x:v>
      </x:c>
      <x:c r="J160" s="42" t="str">
        <x:f>IF('Drivers'!$D$8="","",'Drivers'!$D$8)</x:f>
        <x:v>USD</x:v>
      </x:c>
      <x:c r="K160" s="42" t="str">
        <x:f>IF('Drivers'!$D$21="","",'Drivers'!$D$21)</x:f>
        <x:v>Calendar</x:v>
      </x:c>
      <x:c r="L160" s="42" t="str">
        <x:f>IF('Drivers'!$D$9="","",'Drivers'!$D$9)</x:f>
        <x:v>Accrual</x:v>
      </x:c>
      <x:c r="M160" s="70" t="str">
        <x:f>IF('Drivers'!$D$12="","",'Drivers'!$D$12)</x:f>
      </x:c>
      <x:c r="N160" s="42" t="str">
        <x:f>IF('Drivers'!$D$15="","",'Drivers'!$D$15)</x:f>
      </x:c>
      <x:c r="O160" s="42" t="str">
        <x:v>below_noi</x:v>
      </x:c>
      <x:c r="P160" s="42" t="str">
        <x:v>below_noi</x:v>
      </x:c>
      <x:c r="Q160" s="42" t="n">
        <x:v>1</x:v>
      </x:c>
      <x:c r="R160" s="51" t="str">
        <x:f>IF(V160="Closed: excluded","",IF(ISNUMBER('STR Build'!L59),'STR Build'!L59,""))</x:f>
      </x:c>
      <x:c r="S160" s="42" t="str">
        <x:v>STR Build!L59</x:v>
      </x:c>
      <x:c r="T160" s="42" t="str">
        <x:v>Formula</x:v>
      </x:c>
      <x:c r="U160" s="67" t="str">
        <x:f>IF(ISNUMBER(R160),IF(R160=0,"Populated zero","Populated"),"Missing")</x:f>
        <x:v>Missing</x:v>
      </x:c>
      <x:c r="V160" s="67" t="str">
        <x:f>IF(AND(ISNUMBER('Drivers'!$D$12),E160&lt;='Drivers'!$D$12),"Closed: excluded","Open forecast")</x:f>
        <x:v>Open forecast</x:v>
      </x:c>
    </x:row>
    <x:row r="161" ht="22" customHeight="1">
      <x:c r="A161" s="42"/>
      <x:c r="B161" s="42"/>
      <x:c r="C161" s="42" t="str">
        <x:f>IF('Drivers'!$D$5="","",'Drivers'!$D$5)</x:f>
      </x:c>
      <x:c r="D161" s="42" t="str">
        <x:f>IF('Drivers'!$D$4="","",'Drivers'!$D$4)</x:f>
      </x:c>
      <x:c r="E161" s="69" t="n">
        <x:f>'STR Build'!M$6</x:f>
        <x:v>46600</x:v>
      </x:c>
      <x:c r="F161" s="42" t="str">
        <x:f>IF('Drivers'!$D$10="","",'Drivers'!$D$10)</x:f>
        <x:v>Working Draft</x:v>
      </x:c>
      <x:c r="G161" s="42" t="str">
        <x:f>IF('GL Mapping'!I7="",'GL Mapping'!C7,'GL Mapping'!I7)</x:f>
        <x:v>410100</x:v>
      </x:c>
      <x:c r="H161" s="42" t="str">
        <x:v>Lodging revenue</x:v>
      </x:c>
      <x:c r="I161" s="42" t="str">
        <x:f>IF('Drivers'!$D$11="","",'Drivers'!$D$11)</x:f>
        <x:v>Short-Term Rentals</x:v>
      </x:c>
      <x:c r="J161" s="42" t="str">
        <x:f>IF('Drivers'!$D$8="","",'Drivers'!$D$8)</x:f>
        <x:v>USD</x:v>
      </x:c>
      <x:c r="K161" s="42" t="str">
        <x:f>IF('Drivers'!$D$21="","",'Drivers'!$D$21)</x:f>
        <x:v>Calendar</x:v>
      </x:c>
      <x:c r="L161" s="42" t="str">
        <x:f>IF('Drivers'!$D$9="","",'Drivers'!$D$9)</x:f>
        <x:v>Accrual</x:v>
      </x:c>
      <x:c r="M161" s="70" t="str">
        <x:f>IF('Drivers'!$D$12="","",'Drivers'!$D$12)</x:f>
      </x:c>
      <x:c r="N161" s="42" t="str">
        <x:f>IF('Drivers'!$D$15="","",'Drivers'!$D$15)</x:f>
      </x:c>
      <x:c r="O161" s="42" t="str">
        <x:v>income</x:v>
      </x:c>
      <x:c r="P161" s="42" t="str">
        <x:v>above_noi</x:v>
      </x:c>
      <x:c r="Q161" s="42" t="n">
        <x:v>1</x:v>
      </x:c>
      <x:c r="R161" s="51" t="str">
        <x:f>IF(V161="Closed: excluded","",IF(ISNUMBER('STR Build'!M28),'STR Build'!M28,""))</x:f>
      </x:c>
      <x:c r="S161" s="42" t="str">
        <x:v>STR Build!M28</x:v>
      </x:c>
      <x:c r="T161" s="42" t="str">
        <x:v>Formula</x:v>
      </x:c>
      <x:c r="U161" s="67" t="str">
        <x:f>IF(ISNUMBER(R161),IF(R161=0,"Populated zero","Populated"),"Missing")</x:f>
        <x:v>Missing</x:v>
      </x:c>
      <x:c r="V161" s="67" t="str">
        <x:f>IF(AND(ISNUMBER('Drivers'!$D$12),E161&lt;='Drivers'!$D$12),"Closed: excluded","Open forecast")</x:f>
        <x:v>Open forecast</x:v>
      </x:c>
    </x:row>
    <x:row r="162" ht="22" customHeight="1">
      <x:c r="A162" s="42"/>
      <x:c r="B162" s="42"/>
      <x:c r="C162" s="42" t="str">
        <x:f>IF('Drivers'!$D$5="","",'Drivers'!$D$5)</x:f>
      </x:c>
      <x:c r="D162" s="42" t="str">
        <x:f>IF('Drivers'!$D$4="","",'Drivers'!$D$4)</x:f>
      </x:c>
      <x:c r="E162" s="69" t="n">
        <x:f>'STR Build'!M$6</x:f>
        <x:v>46600</x:v>
      </x:c>
      <x:c r="F162" s="42" t="str">
        <x:f>IF('Drivers'!$D$10="","",'Drivers'!$D$10)</x:f>
        <x:v>Working Draft</x:v>
      </x:c>
      <x:c r="G162" s="42" t="str">
        <x:f>IF('GL Mapping'!I8="",'GL Mapping'!C8,'GL Mapping'!I8)</x:f>
        <x:v>410200</x:v>
      </x:c>
      <x:c r="H162" s="42" t="str">
        <x:v>Cleaning fee income</x:v>
      </x:c>
      <x:c r="I162" s="42" t="str">
        <x:f>IF('Drivers'!$D$11="","",'Drivers'!$D$11)</x:f>
        <x:v>Short-Term Rentals</x:v>
      </x:c>
      <x:c r="J162" s="42" t="str">
        <x:f>IF('Drivers'!$D$8="","",'Drivers'!$D$8)</x:f>
        <x:v>USD</x:v>
      </x:c>
      <x:c r="K162" s="42" t="str">
        <x:f>IF('Drivers'!$D$21="","",'Drivers'!$D$21)</x:f>
        <x:v>Calendar</x:v>
      </x:c>
      <x:c r="L162" s="42" t="str">
        <x:f>IF('Drivers'!$D$9="","",'Drivers'!$D$9)</x:f>
        <x:v>Accrual</x:v>
      </x:c>
      <x:c r="M162" s="70" t="str">
        <x:f>IF('Drivers'!$D$12="","",'Drivers'!$D$12)</x:f>
      </x:c>
      <x:c r="N162" s="42" t="str">
        <x:f>IF('Drivers'!$D$15="","",'Drivers'!$D$15)</x:f>
      </x:c>
      <x:c r="O162" s="42" t="str">
        <x:v>income</x:v>
      </x:c>
      <x:c r="P162" s="42" t="str">
        <x:v>above_noi</x:v>
      </x:c>
      <x:c r="Q162" s="42" t="n">
        <x:v>1</x:v>
      </x:c>
      <x:c r="R162" s="51" t="str">
        <x:f>IF(V162="Closed: excluded","",IF(ISNUMBER('STR Build'!M29),'STR Build'!M29,""))</x:f>
      </x:c>
      <x:c r="S162" s="42" t="str">
        <x:v>STR Build!M29</x:v>
      </x:c>
      <x:c r="T162" s="42" t="str">
        <x:v>Formula</x:v>
      </x:c>
      <x:c r="U162" s="67" t="str">
        <x:f>IF(ISNUMBER(R162),IF(R162=0,"Populated zero","Populated"),"Missing")</x:f>
        <x:v>Missing</x:v>
      </x:c>
      <x:c r="V162" s="67" t="str">
        <x:f>IF(AND(ISNUMBER('Drivers'!$D$12),E162&lt;='Drivers'!$D$12),"Closed: excluded","Open forecast")</x:f>
        <x:v>Open forecast</x:v>
      </x:c>
    </x:row>
    <x:row r="163" ht="22" customHeight="1">
      <x:c r="A163" s="42"/>
      <x:c r="B163" s="42"/>
      <x:c r="C163" s="42" t="str">
        <x:f>IF('Drivers'!$D$5="","",'Drivers'!$D$5)</x:f>
      </x:c>
      <x:c r="D163" s="42" t="str">
        <x:f>IF('Drivers'!$D$4="","",'Drivers'!$D$4)</x:f>
      </x:c>
      <x:c r="E163" s="69" t="n">
        <x:f>'STR Build'!M$6</x:f>
        <x:v>46600</x:v>
      </x:c>
      <x:c r="F163" s="42" t="str">
        <x:f>IF('Drivers'!$D$10="","",'Drivers'!$D$10)</x:f>
        <x:v>Working Draft</x:v>
      </x:c>
      <x:c r="G163" s="42" t="str">
        <x:f>IF('GL Mapping'!I9="",'GL Mapping'!C9,'GL Mapping'!I9)</x:f>
        <x:v>410300</x:v>
      </x:c>
      <x:c r="H163" s="42" t="str">
        <x:v>Other guest fee income</x:v>
      </x:c>
      <x:c r="I163" s="42" t="str">
        <x:f>IF('Drivers'!$D$11="","",'Drivers'!$D$11)</x:f>
        <x:v>Short-Term Rentals</x:v>
      </x:c>
      <x:c r="J163" s="42" t="str">
        <x:f>IF('Drivers'!$D$8="","",'Drivers'!$D$8)</x:f>
        <x:v>USD</x:v>
      </x:c>
      <x:c r="K163" s="42" t="str">
        <x:f>IF('Drivers'!$D$21="","",'Drivers'!$D$21)</x:f>
        <x:v>Calendar</x:v>
      </x:c>
      <x:c r="L163" s="42" t="str">
        <x:f>IF('Drivers'!$D$9="","",'Drivers'!$D$9)</x:f>
        <x:v>Accrual</x:v>
      </x:c>
      <x:c r="M163" s="70" t="str">
        <x:f>IF('Drivers'!$D$12="","",'Drivers'!$D$12)</x:f>
      </x:c>
      <x:c r="N163" s="42" t="str">
        <x:f>IF('Drivers'!$D$15="","",'Drivers'!$D$15)</x:f>
      </x:c>
      <x:c r="O163" s="42" t="str">
        <x:v>income</x:v>
      </x:c>
      <x:c r="P163" s="42" t="str">
        <x:v>above_noi</x:v>
      </x:c>
      <x:c r="Q163" s="42" t="n">
        <x:v>1</x:v>
      </x:c>
      <x:c r="R163" s="51" t="str">
        <x:f>IF(V163="Closed: excluded","",IF(ISNUMBER('STR Build'!M30),'STR Build'!M30,""))</x:f>
      </x:c>
      <x:c r="S163" s="42" t="str">
        <x:v>STR Build!M30</x:v>
      </x:c>
      <x:c r="T163" s="42" t="str">
        <x:v>Formula</x:v>
      </x:c>
      <x:c r="U163" s="67" t="str">
        <x:f>IF(ISNUMBER(R163),IF(R163=0,"Populated zero","Populated"),"Missing")</x:f>
        <x:v>Missing</x:v>
      </x:c>
      <x:c r="V163" s="67" t="str">
        <x:f>IF(AND(ISNUMBER('Drivers'!$D$12),E163&lt;='Drivers'!$D$12),"Closed: excluded","Open forecast")</x:f>
        <x:v>Open forecast</x:v>
      </x:c>
    </x:row>
    <x:row r="164" ht="22" customHeight="1">
      <x:c r="A164" s="42"/>
      <x:c r="B164" s="42"/>
      <x:c r="C164" s="42" t="str">
        <x:f>IF('Drivers'!$D$5="","",'Drivers'!$D$5)</x:f>
      </x:c>
      <x:c r="D164" s="42" t="str">
        <x:f>IF('Drivers'!$D$4="","",'Drivers'!$D$4)</x:f>
      </x:c>
      <x:c r="E164" s="69" t="n">
        <x:f>'STR Build'!M$6</x:f>
        <x:v>46600</x:v>
      </x:c>
      <x:c r="F164" s="42" t="str">
        <x:f>IF('Drivers'!$D$10="","",'Drivers'!$D$10)</x:f>
        <x:v>Working Draft</x:v>
      </x:c>
      <x:c r="G164" s="42" t="str">
        <x:f>IF('GL Mapping'!I10="",'GL Mapping'!C10,'GL Mapping'!I10)</x:f>
        <x:v>419100</x:v>
      </x:c>
      <x:c r="H164" s="42" t="str">
        <x:v>Refunds and discounts</x:v>
      </x:c>
      <x:c r="I164" s="42" t="str">
        <x:f>IF('Drivers'!$D$11="","",'Drivers'!$D$11)</x:f>
        <x:v>Short-Term Rentals</x:v>
      </x:c>
      <x:c r="J164" s="42" t="str">
        <x:f>IF('Drivers'!$D$8="","",'Drivers'!$D$8)</x:f>
        <x:v>USD</x:v>
      </x:c>
      <x:c r="K164" s="42" t="str">
        <x:f>IF('Drivers'!$D$21="","",'Drivers'!$D$21)</x:f>
        <x:v>Calendar</x:v>
      </x:c>
      <x:c r="L164" s="42" t="str">
        <x:f>IF('Drivers'!$D$9="","",'Drivers'!$D$9)</x:f>
        <x:v>Accrual</x:v>
      </x:c>
      <x:c r="M164" s="70" t="str">
        <x:f>IF('Drivers'!$D$12="","",'Drivers'!$D$12)</x:f>
      </x:c>
      <x:c r="N164" s="42" t="str">
        <x:f>IF('Drivers'!$D$15="","",'Drivers'!$D$15)</x:f>
      </x:c>
      <x:c r="O164" s="42" t="str">
        <x:v>contra_income</x:v>
      </x:c>
      <x:c r="P164" s="42" t="str">
        <x:v>above_noi</x:v>
      </x:c>
      <x:c r="Q164" s="42" t="n">
        <x:v>1</x:v>
      </x:c>
      <x:c r="R164" s="51" t="str">
        <x:f>IF(V164="Closed: excluded","",IF(ISNUMBER('STR Build'!M32),'STR Build'!M32,""))</x:f>
      </x:c>
      <x:c r="S164" s="42" t="str">
        <x:v>STR Build!M32</x:v>
      </x:c>
      <x:c r="T164" s="42" t="str">
        <x:v>Formula</x:v>
      </x:c>
      <x:c r="U164" s="67" t="str">
        <x:f>IF(ISNUMBER(R164),IF(R164=0,"Populated zero","Populated"),"Missing")</x:f>
        <x:v>Missing</x:v>
      </x:c>
      <x:c r="V164" s="67" t="str">
        <x:f>IF(AND(ISNUMBER('Drivers'!$D$12),E164&lt;='Drivers'!$D$12),"Closed: excluded","Open forecast")</x:f>
        <x:v>Open forecast</x:v>
      </x:c>
    </x:row>
    <x:row r="165" ht="22" customHeight="1">
      <x:c r="A165" s="42"/>
      <x:c r="B165" s="42"/>
      <x:c r="C165" s="42" t="str">
        <x:f>IF('Drivers'!$D$5="","",'Drivers'!$D$5)</x:f>
      </x:c>
      <x:c r="D165" s="42" t="str">
        <x:f>IF('Drivers'!$D$4="","",'Drivers'!$D$4)</x:f>
      </x:c>
      <x:c r="E165" s="69" t="n">
        <x:f>'STR Build'!M$6</x:f>
        <x:v>46600</x:v>
      </x:c>
      <x:c r="F165" s="42" t="str">
        <x:f>IF('Drivers'!$D$10="","",'Drivers'!$D$10)</x:f>
        <x:v>Working Draft</x:v>
      </x:c>
      <x:c r="G165" s="42" t="str">
        <x:f>IF('GL Mapping'!I11="",'GL Mapping'!C11,'GL Mapping'!I11)</x:f>
        <x:v>419200</x:v>
      </x:c>
      <x:c r="H165" s="42" t="str">
        <x:v>Bad debt</x:v>
      </x:c>
      <x:c r="I165" s="42" t="str">
        <x:f>IF('Drivers'!$D$11="","",'Drivers'!$D$11)</x:f>
        <x:v>Short-Term Rentals</x:v>
      </x:c>
      <x:c r="J165" s="42" t="str">
        <x:f>IF('Drivers'!$D$8="","",'Drivers'!$D$8)</x:f>
        <x:v>USD</x:v>
      </x:c>
      <x:c r="K165" s="42" t="str">
        <x:f>IF('Drivers'!$D$21="","",'Drivers'!$D$21)</x:f>
        <x:v>Calendar</x:v>
      </x:c>
      <x:c r="L165" s="42" t="str">
        <x:f>IF('Drivers'!$D$9="","",'Drivers'!$D$9)</x:f>
        <x:v>Accrual</x:v>
      </x:c>
      <x:c r="M165" s="70" t="str">
        <x:f>IF('Drivers'!$D$12="","",'Drivers'!$D$12)</x:f>
      </x:c>
      <x:c r="N165" s="42" t="str">
        <x:f>IF('Drivers'!$D$15="","",'Drivers'!$D$15)</x:f>
      </x:c>
      <x:c r="O165" s="42" t="str">
        <x:v>contra_income</x:v>
      </x:c>
      <x:c r="P165" s="42" t="str">
        <x:v>above_noi</x:v>
      </x:c>
      <x:c r="Q165" s="42" t="n">
        <x:v>1</x:v>
      </x:c>
      <x:c r="R165" s="51" t="str">
        <x:f>IF(V165="Closed: excluded","",IF(ISNUMBER('STR Build'!M33),'STR Build'!M33,""))</x:f>
      </x:c>
      <x:c r="S165" s="42" t="str">
        <x:v>STR Build!M33</x:v>
      </x:c>
      <x:c r="T165" s="42" t="str">
        <x:v>Formula</x:v>
      </x:c>
      <x:c r="U165" s="67" t="str">
        <x:f>IF(ISNUMBER(R165),IF(R165=0,"Populated zero","Populated"),"Missing")</x:f>
        <x:v>Missing</x:v>
      </x:c>
      <x:c r="V165" s="67" t="str">
        <x:f>IF(AND(ISNUMBER('Drivers'!$D$12),E165&lt;='Drivers'!$D$12),"Closed: excluded","Open forecast")</x:f>
        <x:v>Open forecast</x:v>
      </x:c>
    </x:row>
    <x:row r="166" ht="22" customHeight="1">
      <x:c r="A166" s="42"/>
      <x:c r="B166" s="42"/>
      <x:c r="C166" s="42" t="str">
        <x:f>IF('Drivers'!$D$5="","",'Drivers'!$D$5)</x:f>
      </x:c>
      <x:c r="D166" s="42" t="str">
        <x:f>IF('Drivers'!$D$4="","",'Drivers'!$D$4)</x:f>
      </x:c>
      <x:c r="E166" s="69" t="n">
        <x:f>'STR Build'!M$6</x:f>
        <x:v>46600</x:v>
      </x:c>
      <x:c r="F166" s="42" t="str">
        <x:f>IF('Drivers'!$D$10="","",'Drivers'!$D$10)</x:f>
        <x:v>Working Draft</x:v>
      </x:c>
      <x:c r="G166" s="42" t="str">
        <x:f>IF('GL Mapping'!I12="",'GL Mapping'!C12,'GL Mapping'!I12)</x:f>
        <x:v>610100</x:v>
      </x:c>
      <x:c r="H166" s="42" t="str">
        <x:v>Channel commissions</x:v>
      </x:c>
      <x:c r="I166" s="42" t="str">
        <x:f>IF('Drivers'!$D$11="","",'Drivers'!$D$11)</x:f>
        <x:v>Short-Term Rentals</x:v>
      </x:c>
      <x:c r="J166" s="42" t="str">
        <x:f>IF('Drivers'!$D$8="","",'Drivers'!$D$8)</x:f>
        <x:v>USD</x:v>
      </x:c>
      <x:c r="K166" s="42" t="str">
        <x:f>IF('Drivers'!$D$21="","",'Drivers'!$D$21)</x:f>
        <x:v>Calendar</x:v>
      </x:c>
      <x:c r="L166" s="42" t="str">
        <x:f>IF('Drivers'!$D$9="","",'Drivers'!$D$9)</x:f>
        <x:v>Accrual</x:v>
      </x:c>
      <x:c r="M166" s="70" t="str">
        <x:f>IF('Drivers'!$D$12="","",'Drivers'!$D$12)</x:f>
      </x:c>
      <x:c r="N166" s="42" t="str">
        <x:f>IF('Drivers'!$D$15="","",'Drivers'!$D$15)</x:f>
      </x:c>
      <x:c r="O166" s="42" t="str">
        <x:v>expense</x:v>
      </x:c>
      <x:c r="P166" s="42" t="str">
        <x:v>above_noi</x:v>
      </x:c>
      <x:c r="Q166" s="42" t="n">
        <x:v>1</x:v>
      </x:c>
      <x:c r="R166" s="51" t="str">
        <x:f>IF(V166="Closed: excluded","",IF(ISNUMBER('STR Build'!M36),'STR Build'!M36,""))</x:f>
      </x:c>
      <x:c r="S166" s="42" t="str">
        <x:v>STR Build!M36</x:v>
      </x:c>
      <x:c r="T166" s="42" t="str">
        <x:v>Formula</x:v>
      </x:c>
      <x:c r="U166" s="67" t="str">
        <x:f>IF(ISNUMBER(R166),IF(R166=0,"Populated zero","Populated"),"Missing")</x:f>
        <x:v>Missing</x:v>
      </x:c>
      <x:c r="V166" s="67" t="str">
        <x:f>IF(AND(ISNUMBER('Drivers'!$D$12),E166&lt;='Drivers'!$D$12),"Closed: excluded","Open forecast")</x:f>
        <x:v>Open forecast</x:v>
      </x:c>
    </x:row>
    <x:row r="167" ht="22" customHeight="1">
      <x:c r="A167" s="42"/>
      <x:c r="B167" s="42"/>
      <x:c r="C167" s="42" t="str">
        <x:f>IF('Drivers'!$D$5="","",'Drivers'!$D$5)</x:f>
      </x:c>
      <x:c r="D167" s="42" t="str">
        <x:f>IF('Drivers'!$D$4="","",'Drivers'!$D$4)</x:f>
      </x:c>
      <x:c r="E167" s="69" t="n">
        <x:f>'STR Build'!M$6</x:f>
        <x:v>46600</x:v>
      </x:c>
      <x:c r="F167" s="42" t="str">
        <x:f>IF('Drivers'!$D$10="","",'Drivers'!$D$10)</x:f>
        <x:v>Working Draft</x:v>
      </x:c>
      <x:c r="G167" s="42" t="str">
        <x:f>IF('GL Mapping'!I13="",'GL Mapping'!C13,'GL Mapping'!I13)</x:f>
        <x:v>610200</x:v>
      </x:c>
      <x:c r="H167" s="42" t="str">
        <x:v>Cleaning expense</x:v>
      </x:c>
      <x:c r="I167" s="42" t="str">
        <x:f>IF('Drivers'!$D$11="","",'Drivers'!$D$11)</x:f>
        <x:v>Short-Term Rentals</x:v>
      </x:c>
      <x:c r="J167" s="42" t="str">
        <x:f>IF('Drivers'!$D$8="","",'Drivers'!$D$8)</x:f>
        <x:v>USD</x:v>
      </x:c>
      <x:c r="K167" s="42" t="str">
        <x:f>IF('Drivers'!$D$21="","",'Drivers'!$D$21)</x:f>
        <x:v>Calendar</x:v>
      </x:c>
      <x:c r="L167" s="42" t="str">
        <x:f>IF('Drivers'!$D$9="","",'Drivers'!$D$9)</x:f>
        <x:v>Accrual</x:v>
      </x:c>
      <x:c r="M167" s="70" t="str">
        <x:f>IF('Drivers'!$D$12="","",'Drivers'!$D$12)</x:f>
      </x:c>
      <x:c r="N167" s="42" t="str">
        <x:f>IF('Drivers'!$D$15="","",'Drivers'!$D$15)</x:f>
      </x:c>
      <x:c r="O167" s="42" t="str">
        <x:v>expense</x:v>
      </x:c>
      <x:c r="P167" s="42" t="str">
        <x:v>above_noi</x:v>
      </x:c>
      <x:c r="Q167" s="42" t="n">
        <x:v>1</x:v>
      </x:c>
      <x:c r="R167" s="51" t="str">
        <x:f>IF(V167="Closed: excluded","",IF(ISNUMBER('STR Build'!M37),'STR Build'!M37,""))</x:f>
      </x:c>
      <x:c r="S167" s="42" t="str">
        <x:v>STR Build!M37</x:v>
      </x:c>
      <x:c r="T167" s="42" t="str">
        <x:v>Formula</x:v>
      </x:c>
      <x:c r="U167" s="67" t="str">
        <x:f>IF(ISNUMBER(R167),IF(R167=0,"Populated zero","Populated"),"Missing")</x:f>
        <x:v>Missing</x:v>
      </x:c>
      <x:c r="V167" s="67" t="str">
        <x:f>IF(AND(ISNUMBER('Drivers'!$D$12),E167&lt;='Drivers'!$D$12),"Closed: excluded","Open forecast")</x:f>
        <x:v>Open forecast</x:v>
      </x:c>
    </x:row>
    <x:row r="168" ht="22" customHeight="1">
      <x:c r="A168" s="42"/>
      <x:c r="B168" s="42"/>
      <x:c r="C168" s="42" t="str">
        <x:f>IF('Drivers'!$D$5="","",'Drivers'!$D$5)</x:f>
      </x:c>
      <x:c r="D168" s="42" t="str">
        <x:f>IF('Drivers'!$D$4="","",'Drivers'!$D$4)</x:f>
      </x:c>
      <x:c r="E168" s="69" t="n">
        <x:f>'STR Build'!M$6</x:f>
        <x:v>46600</x:v>
      </x:c>
      <x:c r="F168" s="42" t="str">
        <x:f>IF('Drivers'!$D$10="","",'Drivers'!$D$10)</x:f>
        <x:v>Working Draft</x:v>
      </x:c>
      <x:c r="G168" s="42" t="str">
        <x:f>IF('GL Mapping'!I14="",'GL Mapping'!C14,'GL Mapping'!I14)</x:f>
        <x:v>610300</x:v>
      </x:c>
      <x:c r="H168" s="42" t="str">
        <x:v>Property-borne lodging tax</x:v>
      </x:c>
      <x:c r="I168" s="42" t="str">
        <x:f>IF('Drivers'!$D$11="","",'Drivers'!$D$11)</x:f>
        <x:v>Short-Term Rentals</x:v>
      </x:c>
      <x:c r="J168" s="42" t="str">
        <x:f>IF('Drivers'!$D$8="","",'Drivers'!$D$8)</x:f>
        <x:v>USD</x:v>
      </x:c>
      <x:c r="K168" s="42" t="str">
        <x:f>IF('Drivers'!$D$21="","",'Drivers'!$D$21)</x:f>
        <x:v>Calendar</x:v>
      </x:c>
      <x:c r="L168" s="42" t="str">
        <x:f>IF('Drivers'!$D$9="","",'Drivers'!$D$9)</x:f>
        <x:v>Accrual</x:v>
      </x:c>
      <x:c r="M168" s="70" t="str">
        <x:f>IF('Drivers'!$D$12="","",'Drivers'!$D$12)</x:f>
      </x:c>
      <x:c r="N168" s="42" t="str">
        <x:f>IF('Drivers'!$D$15="","",'Drivers'!$D$15)</x:f>
      </x:c>
      <x:c r="O168" s="42" t="str">
        <x:v>expense</x:v>
      </x:c>
      <x:c r="P168" s="42" t="str">
        <x:v>above_noi</x:v>
      </x:c>
      <x:c r="Q168" s="42" t="n">
        <x:v>1</x:v>
      </x:c>
      <x:c r="R168" s="51" t="str">
        <x:f>IF(V168="Closed: excluded","",IF(ISNUMBER('STR Build'!M38),'STR Build'!M38,""))</x:f>
      </x:c>
      <x:c r="S168" s="42" t="str">
        <x:v>STR Build!M38</x:v>
      </x:c>
      <x:c r="T168" s="42" t="str">
        <x:v>Formula</x:v>
      </x:c>
      <x:c r="U168" s="67" t="str">
        <x:f>IF(ISNUMBER(R168),IF(R168=0,"Populated zero","Populated"),"Missing")</x:f>
        <x:v>Missing</x:v>
      </x:c>
      <x:c r="V168" s="67" t="str">
        <x:f>IF(AND(ISNUMBER('Drivers'!$D$12),E168&lt;='Drivers'!$D$12),"Closed: excluded","Open forecast")</x:f>
        <x:v>Open forecast</x:v>
      </x:c>
    </x:row>
    <x:row r="169" ht="22" customHeight="1">
      <x:c r="A169" s="42"/>
      <x:c r="B169" s="42"/>
      <x:c r="C169" s="42" t="str">
        <x:f>IF('Drivers'!$D$5="","",'Drivers'!$D$5)</x:f>
      </x:c>
      <x:c r="D169" s="42" t="str">
        <x:f>IF('Drivers'!$D$4="","",'Drivers'!$D$4)</x:f>
      </x:c>
      <x:c r="E169" s="69" t="n">
        <x:f>'STR Build'!M$6</x:f>
        <x:v>46600</x:v>
      </x:c>
      <x:c r="F169" s="42" t="str">
        <x:f>IF('Drivers'!$D$10="","",'Drivers'!$D$10)</x:f>
        <x:v>Working Draft</x:v>
      </x:c>
      <x:c r="G169" s="42" t="str">
        <x:f>IF('GL Mapping'!I15="",'GL Mapping'!C15,'GL Mapping'!I15)</x:f>
        <x:v>610400</x:v>
      </x:c>
      <x:c r="H169" s="42" t="str">
        <x:v>Supplies</x:v>
      </x:c>
      <x:c r="I169" s="42" t="str">
        <x:f>IF('Drivers'!$D$11="","",'Drivers'!$D$11)</x:f>
        <x:v>Short-Term Rentals</x:v>
      </x:c>
      <x:c r="J169" s="42" t="str">
        <x:f>IF('Drivers'!$D$8="","",'Drivers'!$D$8)</x:f>
        <x:v>USD</x:v>
      </x:c>
      <x:c r="K169" s="42" t="str">
        <x:f>IF('Drivers'!$D$21="","",'Drivers'!$D$21)</x:f>
        <x:v>Calendar</x:v>
      </x:c>
      <x:c r="L169" s="42" t="str">
        <x:f>IF('Drivers'!$D$9="","",'Drivers'!$D$9)</x:f>
        <x:v>Accrual</x:v>
      </x:c>
      <x:c r="M169" s="70" t="str">
        <x:f>IF('Drivers'!$D$12="","",'Drivers'!$D$12)</x:f>
      </x:c>
      <x:c r="N169" s="42" t="str">
        <x:f>IF('Drivers'!$D$15="","",'Drivers'!$D$15)</x:f>
      </x:c>
      <x:c r="O169" s="42" t="str">
        <x:v>expense</x:v>
      </x:c>
      <x:c r="P169" s="42" t="str">
        <x:v>above_noi</x:v>
      </x:c>
      <x:c r="Q169" s="42" t="n">
        <x:v>1</x:v>
      </x:c>
      <x:c r="R169" s="51" t="str">
        <x:f>IF(V169="Closed: excluded","",IF(ISNUMBER('STR Build'!M39),'STR Build'!M39,""))</x:f>
      </x:c>
      <x:c r="S169" s="42" t="str">
        <x:v>STR Build!M39</x:v>
      </x:c>
      <x:c r="T169" s="42" t="str">
        <x:v>Formula</x:v>
      </x:c>
      <x:c r="U169" s="67" t="str">
        <x:f>IF(ISNUMBER(R169),IF(R169=0,"Populated zero","Populated"),"Missing")</x:f>
        <x:v>Missing</x:v>
      </x:c>
      <x:c r="V169" s="67" t="str">
        <x:f>IF(AND(ISNUMBER('Drivers'!$D$12),E169&lt;='Drivers'!$D$12),"Closed: excluded","Open forecast")</x:f>
        <x:v>Open forecast</x:v>
      </x:c>
    </x:row>
    <x:row r="170" ht="22" customHeight="1">
      <x:c r="A170" s="42"/>
      <x:c r="B170" s="42"/>
      <x:c r="C170" s="42" t="str">
        <x:f>IF('Drivers'!$D$5="","",'Drivers'!$D$5)</x:f>
      </x:c>
      <x:c r="D170" s="42" t="str">
        <x:f>IF('Drivers'!$D$4="","",'Drivers'!$D$4)</x:f>
      </x:c>
      <x:c r="E170" s="69" t="n">
        <x:f>'STR Build'!M$6</x:f>
        <x:v>46600</x:v>
      </x:c>
      <x:c r="F170" s="42" t="str">
        <x:f>IF('Drivers'!$D$10="","",'Drivers'!$D$10)</x:f>
        <x:v>Working Draft</x:v>
      </x:c>
      <x:c r="G170" s="42" t="str">
        <x:f>IF('GL Mapping'!I16="",'GL Mapping'!C16,'GL Mapping'!I16)</x:f>
        <x:v>620100</x:v>
      </x:c>
      <x:c r="H170" s="42" t="str">
        <x:v>Payroll</x:v>
      </x:c>
      <x:c r="I170" s="42" t="str">
        <x:f>IF('Drivers'!$D$11="","",'Drivers'!$D$11)</x:f>
        <x:v>Short-Term Rentals</x:v>
      </x:c>
      <x:c r="J170" s="42" t="str">
        <x:f>IF('Drivers'!$D$8="","",'Drivers'!$D$8)</x:f>
        <x:v>USD</x:v>
      </x:c>
      <x:c r="K170" s="42" t="str">
        <x:f>IF('Drivers'!$D$21="","",'Drivers'!$D$21)</x:f>
        <x:v>Calendar</x:v>
      </x:c>
      <x:c r="L170" s="42" t="str">
        <x:f>IF('Drivers'!$D$9="","",'Drivers'!$D$9)</x:f>
        <x:v>Accrual</x:v>
      </x:c>
      <x:c r="M170" s="70" t="str">
        <x:f>IF('Drivers'!$D$12="","",'Drivers'!$D$12)</x:f>
      </x:c>
      <x:c r="N170" s="42" t="str">
        <x:f>IF('Drivers'!$D$15="","",'Drivers'!$D$15)</x:f>
      </x:c>
      <x:c r="O170" s="42" t="str">
        <x:v>expense</x:v>
      </x:c>
      <x:c r="P170" s="42" t="str">
        <x:v>above_noi</x:v>
      </x:c>
      <x:c r="Q170" s="42" t="n">
        <x:v>1</x:v>
      </x:c>
      <x:c r="R170" s="51" t="str">
        <x:f>IF(V170="Closed: excluded","",IF(ISNUMBER('STR Build'!M40),'STR Build'!M40,""))</x:f>
      </x:c>
      <x:c r="S170" s="42" t="str">
        <x:v>STR Build!M40</x:v>
      </x:c>
      <x:c r="T170" s="42" t="str">
        <x:v>Formula</x:v>
      </x:c>
      <x:c r="U170" s="67" t="str">
        <x:f>IF(ISNUMBER(R170),IF(R170=0,"Populated zero","Populated"),"Missing")</x:f>
        <x:v>Missing</x:v>
      </x:c>
      <x:c r="V170" s="67" t="str">
        <x:f>IF(AND(ISNUMBER('Drivers'!$D$12),E170&lt;='Drivers'!$D$12),"Closed: excluded","Open forecast")</x:f>
        <x:v>Open forecast</x:v>
      </x:c>
    </x:row>
    <x:row r="171" ht="22" customHeight="1">
      <x:c r="A171" s="42"/>
      <x:c r="B171" s="42"/>
      <x:c r="C171" s="42" t="str">
        <x:f>IF('Drivers'!$D$5="","",'Drivers'!$D$5)</x:f>
      </x:c>
      <x:c r="D171" s="42" t="str">
        <x:f>IF('Drivers'!$D$4="","",'Drivers'!$D$4)</x:f>
      </x:c>
      <x:c r="E171" s="69" t="n">
        <x:f>'STR Build'!M$6</x:f>
        <x:v>46600</x:v>
      </x:c>
      <x:c r="F171" s="42" t="str">
        <x:f>IF('Drivers'!$D$10="","",'Drivers'!$D$10)</x:f>
        <x:v>Working Draft</x:v>
      </x:c>
      <x:c r="G171" s="42" t="str">
        <x:f>IF('GL Mapping'!I17="",'GL Mapping'!C17,'GL Mapping'!I17)</x:f>
        <x:v>630100</x:v>
      </x:c>
      <x:c r="H171" s="42" t="str">
        <x:v>Utilities</x:v>
      </x:c>
      <x:c r="I171" s="42" t="str">
        <x:f>IF('Drivers'!$D$11="","",'Drivers'!$D$11)</x:f>
        <x:v>Short-Term Rentals</x:v>
      </x:c>
      <x:c r="J171" s="42" t="str">
        <x:f>IF('Drivers'!$D$8="","",'Drivers'!$D$8)</x:f>
        <x:v>USD</x:v>
      </x:c>
      <x:c r="K171" s="42" t="str">
        <x:f>IF('Drivers'!$D$21="","",'Drivers'!$D$21)</x:f>
        <x:v>Calendar</x:v>
      </x:c>
      <x:c r="L171" s="42" t="str">
        <x:f>IF('Drivers'!$D$9="","",'Drivers'!$D$9)</x:f>
        <x:v>Accrual</x:v>
      </x:c>
      <x:c r="M171" s="70" t="str">
        <x:f>IF('Drivers'!$D$12="","",'Drivers'!$D$12)</x:f>
      </x:c>
      <x:c r="N171" s="42" t="str">
        <x:f>IF('Drivers'!$D$15="","",'Drivers'!$D$15)</x:f>
      </x:c>
      <x:c r="O171" s="42" t="str">
        <x:v>expense</x:v>
      </x:c>
      <x:c r="P171" s="42" t="str">
        <x:v>above_noi</x:v>
      </x:c>
      <x:c r="Q171" s="42" t="n">
        <x:v>1</x:v>
      </x:c>
      <x:c r="R171" s="51" t="str">
        <x:f>IF(V171="Closed: excluded","",IF(ISNUMBER('STR Build'!M41),'STR Build'!M41,""))</x:f>
      </x:c>
      <x:c r="S171" s="42" t="str">
        <x:v>STR Build!M41</x:v>
      </x:c>
      <x:c r="T171" s="42" t="str">
        <x:v>Formula</x:v>
      </x:c>
      <x:c r="U171" s="67" t="str">
        <x:f>IF(ISNUMBER(R171),IF(R171=0,"Populated zero","Populated"),"Missing")</x:f>
        <x:v>Missing</x:v>
      </x:c>
      <x:c r="V171" s="67" t="str">
        <x:f>IF(AND(ISNUMBER('Drivers'!$D$12),E171&lt;='Drivers'!$D$12),"Closed: excluded","Open forecast")</x:f>
        <x:v>Open forecast</x:v>
      </x:c>
    </x:row>
    <x:row r="172" ht="22" customHeight="1">
      <x:c r="A172" s="42"/>
      <x:c r="B172" s="42"/>
      <x:c r="C172" s="42" t="str">
        <x:f>IF('Drivers'!$D$5="","",'Drivers'!$D$5)</x:f>
      </x:c>
      <x:c r="D172" s="42" t="str">
        <x:f>IF('Drivers'!$D$4="","",'Drivers'!$D$4)</x:f>
      </x:c>
      <x:c r="E172" s="69" t="n">
        <x:f>'STR Build'!M$6</x:f>
        <x:v>46600</x:v>
      </x:c>
      <x:c r="F172" s="42" t="str">
        <x:f>IF('Drivers'!$D$10="","",'Drivers'!$D$10)</x:f>
        <x:v>Working Draft</x:v>
      </x:c>
      <x:c r="G172" s="42" t="str">
        <x:f>IF('GL Mapping'!I18="",'GL Mapping'!C18,'GL Mapping'!I18)</x:f>
        <x:v>640100</x:v>
      </x:c>
      <x:c r="H172" s="42" t="str">
        <x:v>Contracts</x:v>
      </x:c>
      <x:c r="I172" s="42" t="str">
        <x:f>IF('Drivers'!$D$11="","",'Drivers'!$D$11)</x:f>
        <x:v>Short-Term Rentals</x:v>
      </x:c>
      <x:c r="J172" s="42" t="str">
        <x:f>IF('Drivers'!$D$8="","",'Drivers'!$D$8)</x:f>
        <x:v>USD</x:v>
      </x:c>
      <x:c r="K172" s="42" t="str">
        <x:f>IF('Drivers'!$D$21="","",'Drivers'!$D$21)</x:f>
        <x:v>Calendar</x:v>
      </x:c>
      <x:c r="L172" s="42" t="str">
        <x:f>IF('Drivers'!$D$9="","",'Drivers'!$D$9)</x:f>
        <x:v>Accrual</x:v>
      </x:c>
      <x:c r="M172" s="70" t="str">
        <x:f>IF('Drivers'!$D$12="","",'Drivers'!$D$12)</x:f>
      </x:c>
      <x:c r="N172" s="42" t="str">
        <x:f>IF('Drivers'!$D$15="","",'Drivers'!$D$15)</x:f>
      </x:c>
      <x:c r="O172" s="42" t="str">
        <x:v>expense</x:v>
      </x:c>
      <x:c r="P172" s="42" t="str">
        <x:v>above_noi</x:v>
      </x:c>
      <x:c r="Q172" s="42" t="n">
        <x:v>1</x:v>
      </x:c>
      <x:c r="R172" s="51" t="str">
        <x:f>IF(V172="Closed: excluded","",IF(ISNUMBER('STR Build'!M42),'STR Build'!M42,""))</x:f>
      </x:c>
      <x:c r="S172" s="42" t="str">
        <x:v>STR Build!M42</x:v>
      </x:c>
      <x:c r="T172" s="42" t="str">
        <x:v>Formula</x:v>
      </x:c>
      <x:c r="U172" s="67" t="str">
        <x:f>IF(ISNUMBER(R172),IF(R172=0,"Populated zero","Populated"),"Missing")</x:f>
        <x:v>Missing</x:v>
      </x:c>
      <x:c r="V172" s="67" t="str">
        <x:f>IF(AND(ISNUMBER('Drivers'!$D$12),E172&lt;='Drivers'!$D$12),"Closed: excluded","Open forecast")</x:f>
        <x:v>Open forecast</x:v>
      </x:c>
    </x:row>
    <x:row r="173" ht="22" customHeight="1">
      <x:c r="A173" s="42"/>
      <x:c r="B173" s="42"/>
      <x:c r="C173" s="42" t="str">
        <x:f>IF('Drivers'!$D$5="","",'Drivers'!$D$5)</x:f>
      </x:c>
      <x:c r="D173" s="42" t="str">
        <x:f>IF('Drivers'!$D$4="","",'Drivers'!$D$4)</x:f>
      </x:c>
      <x:c r="E173" s="69" t="n">
        <x:f>'STR Build'!M$6</x:f>
        <x:v>46600</x:v>
      </x:c>
      <x:c r="F173" s="42" t="str">
        <x:f>IF('Drivers'!$D$10="","",'Drivers'!$D$10)</x:f>
        <x:v>Working Draft</x:v>
      </x:c>
      <x:c r="G173" s="42" t="str">
        <x:f>IF('GL Mapping'!I19="",'GL Mapping'!C19,'GL Mapping'!I19)</x:f>
        <x:v>650100</x:v>
      </x:c>
      <x:c r="H173" s="42" t="str">
        <x:v>Marketing</x:v>
      </x:c>
      <x:c r="I173" s="42" t="str">
        <x:f>IF('Drivers'!$D$11="","",'Drivers'!$D$11)</x:f>
        <x:v>Short-Term Rentals</x:v>
      </x:c>
      <x:c r="J173" s="42" t="str">
        <x:f>IF('Drivers'!$D$8="","",'Drivers'!$D$8)</x:f>
        <x:v>USD</x:v>
      </x:c>
      <x:c r="K173" s="42" t="str">
        <x:f>IF('Drivers'!$D$21="","",'Drivers'!$D$21)</x:f>
        <x:v>Calendar</x:v>
      </x:c>
      <x:c r="L173" s="42" t="str">
        <x:f>IF('Drivers'!$D$9="","",'Drivers'!$D$9)</x:f>
        <x:v>Accrual</x:v>
      </x:c>
      <x:c r="M173" s="70" t="str">
        <x:f>IF('Drivers'!$D$12="","",'Drivers'!$D$12)</x:f>
      </x:c>
      <x:c r="N173" s="42" t="str">
        <x:f>IF('Drivers'!$D$15="","",'Drivers'!$D$15)</x:f>
      </x:c>
      <x:c r="O173" s="42" t="str">
        <x:v>expense</x:v>
      </x:c>
      <x:c r="P173" s="42" t="str">
        <x:v>above_noi</x:v>
      </x:c>
      <x:c r="Q173" s="42" t="n">
        <x:v>1</x:v>
      </x:c>
      <x:c r="R173" s="51" t="str">
        <x:f>IF(V173="Closed: excluded","",IF(ISNUMBER('STR Build'!M43),'STR Build'!M43,""))</x:f>
      </x:c>
      <x:c r="S173" s="42" t="str">
        <x:v>STR Build!M43</x:v>
      </x:c>
      <x:c r="T173" s="42" t="str">
        <x:v>Formula</x:v>
      </x:c>
      <x:c r="U173" s="67" t="str">
        <x:f>IF(ISNUMBER(R173),IF(R173=0,"Populated zero","Populated"),"Missing")</x:f>
        <x:v>Missing</x:v>
      </x:c>
      <x:c r="V173" s="67" t="str">
        <x:f>IF(AND(ISNUMBER('Drivers'!$D$12),E173&lt;='Drivers'!$D$12),"Closed: excluded","Open forecast")</x:f>
        <x:v>Open forecast</x:v>
      </x:c>
    </x:row>
    <x:row r="174" ht="22" customHeight="1">
      <x:c r="A174" s="42"/>
      <x:c r="B174" s="42"/>
      <x:c r="C174" s="42" t="str">
        <x:f>IF('Drivers'!$D$5="","",'Drivers'!$D$5)</x:f>
      </x:c>
      <x:c r="D174" s="42" t="str">
        <x:f>IF('Drivers'!$D$4="","",'Drivers'!$D$4)</x:f>
      </x:c>
      <x:c r="E174" s="69" t="n">
        <x:f>'STR Build'!M$6</x:f>
        <x:v>46600</x:v>
      </x:c>
      <x:c r="F174" s="42" t="str">
        <x:f>IF('Drivers'!$D$10="","",'Drivers'!$D$10)</x:f>
        <x:v>Working Draft</x:v>
      </x:c>
      <x:c r="G174" s="42" t="str">
        <x:f>IF('GL Mapping'!I20="",'GL Mapping'!C20,'GL Mapping'!I20)</x:f>
        <x:v>660100</x:v>
      </x:c>
      <x:c r="H174" s="42" t="str">
        <x:v>Maintenance</x:v>
      </x:c>
      <x:c r="I174" s="42" t="str">
        <x:f>IF('Drivers'!$D$11="","",'Drivers'!$D$11)</x:f>
        <x:v>Short-Term Rentals</x:v>
      </x:c>
      <x:c r="J174" s="42" t="str">
        <x:f>IF('Drivers'!$D$8="","",'Drivers'!$D$8)</x:f>
        <x:v>USD</x:v>
      </x:c>
      <x:c r="K174" s="42" t="str">
        <x:f>IF('Drivers'!$D$21="","",'Drivers'!$D$21)</x:f>
        <x:v>Calendar</x:v>
      </x:c>
      <x:c r="L174" s="42" t="str">
        <x:f>IF('Drivers'!$D$9="","",'Drivers'!$D$9)</x:f>
        <x:v>Accrual</x:v>
      </x:c>
      <x:c r="M174" s="70" t="str">
        <x:f>IF('Drivers'!$D$12="","",'Drivers'!$D$12)</x:f>
      </x:c>
      <x:c r="N174" s="42" t="str">
        <x:f>IF('Drivers'!$D$15="","",'Drivers'!$D$15)</x:f>
      </x:c>
      <x:c r="O174" s="42" t="str">
        <x:v>expense</x:v>
      </x:c>
      <x:c r="P174" s="42" t="str">
        <x:v>above_noi</x:v>
      </x:c>
      <x:c r="Q174" s="42" t="n">
        <x:v>1</x:v>
      </x:c>
      <x:c r="R174" s="51" t="str">
        <x:f>IF(V174="Closed: excluded","",IF(ISNUMBER('STR Build'!M44),'STR Build'!M44,""))</x:f>
      </x:c>
      <x:c r="S174" s="42" t="str">
        <x:v>STR Build!M44</x:v>
      </x:c>
      <x:c r="T174" s="42" t="str">
        <x:v>Formula</x:v>
      </x:c>
      <x:c r="U174" s="67" t="str">
        <x:f>IF(ISNUMBER(R174),IF(R174=0,"Populated zero","Populated"),"Missing")</x:f>
        <x:v>Missing</x:v>
      </x:c>
      <x:c r="V174" s="67" t="str">
        <x:f>IF(AND(ISNUMBER('Drivers'!$D$12),E174&lt;='Drivers'!$D$12),"Closed: excluded","Open forecast")</x:f>
        <x:v>Open forecast</x:v>
      </x:c>
    </x:row>
    <x:row r="175" ht="22" customHeight="1">
      <x:c r="A175" s="42"/>
      <x:c r="B175" s="42"/>
      <x:c r="C175" s="42" t="str">
        <x:f>IF('Drivers'!$D$5="","",'Drivers'!$D$5)</x:f>
      </x:c>
      <x:c r="D175" s="42" t="str">
        <x:f>IF('Drivers'!$D$4="","",'Drivers'!$D$4)</x:f>
      </x:c>
      <x:c r="E175" s="69" t="n">
        <x:f>'STR Build'!M$6</x:f>
        <x:v>46600</x:v>
      </x:c>
      <x:c r="F175" s="42" t="str">
        <x:f>IF('Drivers'!$D$10="","",'Drivers'!$D$10)</x:f>
        <x:v>Working Draft</x:v>
      </x:c>
      <x:c r="G175" s="42" t="str">
        <x:f>IF('GL Mapping'!I21="",'GL Mapping'!C21,'GL Mapping'!I21)</x:f>
        <x:v>670100</x:v>
      </x:c>
      <x:c r="H175" s="42" t="str">
        <x:v>Insurance</x:v>
      </x:c>
      <x:c r="I175" s="42" t="str">
        <x:f>IF('Drivers'!$D$11="","",'Drivers'!$D$11)</x:f>
        <x:v>Short-Term Rentals</x:v>
      </x:c>
      <x:c r="J175" s="42" t="str">
        <x:f>IF('Drivers'!$D$8="","",'Drivers'!$D$8)</x:f>
        <x:v>USD</x:v>
      </x:c>
      <x:c r="K175" s="42" t="str">
        <x:f>IF('Drivers'!$D$21="","",'Drivers'!$D$21)</x:f>
        <x:v>Calendar</x:v>
      </x:c>
      <x:c r="L175" s="42" t="str">
        <x:f>IF('Drivers'!$D$9="","",'Drivers'!$D$9)</x:f>
        <x:v>Accrual</x:v>
      </x:c>
      <x:c r="M175" s="70" t="str">
        <x:f>IF('Drivers'!$D$12="","",'Drivers'!$D$12)</x:f>
      </x:c>
      <x:c r="N175" s="42" t="str">
        <x:f>IF('Drivers'!$D$15="","",'Drivers'!$D$15)</x:f>
      </x:c>
      <x:c r="O175" s="42" t="str">
        <x:v>expense</x:v>
      </x:c>
      <x:c r="P175" s="42" t="str">
        <x:v>above_noi</x:v>
      </x:c>
      <x:c r="Q175" s="42" t="n">
        <x:v>1</x:v>
      </x:c>
      <x:c r="R175" s="51" t="str">
        <x:f>IF(V175="Closed: excluded","",IF(ISNUMBER('STR Build'!M45),'STR Build'!M45,""))</x:f>
      </x:c>
      <x:c r="S175" s="42" t="str">
        <x:v>STR Build!M45</x:v>
      </x:c>
      <x:c r="T175" s="42" t="str">
        <x:v>Formula</x:v>
      </x:c>
      <x:c r="U175" s="67" t="str">
        <x:f>IF(ISNUMBER(R175),IF(R175=0,"Populated zero","Populated"),"Missing")</x:f>
        <x:v>Missing</x:v>
      </x:c>
      <x:c r="V175" s="67" t="str">
        <x:f>IF(AND(ISNUMBER('Drivers'!$D$12),E175&lt;='Drivers'!$D$12),"Closed: excluded","Open forecast")</x:f>
        <x:v>Open forecast</x:v>
      </x:c>
    </x:row>
    <x:row r="176" ht="22" customHeight="1">
      <x:c r="A176" s="42"/>
      <x:c r="B176" s="42"/>
      <x:c r="C176" s="42" t="str">
        <x:f>IF('Drivers'!$D$5="","",'Drivers'!$D$5)</x:f>
      </x:c>
      <x:c r="D176" s="42" t="str">
        <x:f>IF('Drivers'!$D$4="","",'Drivers'!$D$4)</x:f>
      </x:c>
      <x:c r="E176" s="69" t="n">
        <x:f>'STR Build'!M$6</x:f>
        <x:v>46600</x:v>
      </x:c>
      <x:c r="F176" s="42" t="str">
        <x:f>IF('Drivers'!$D$10="","",'Drivers'!$D$10)</x:f>
        <x:v>Working Draft</x:v>
      </x:c>
      <x:c r="G176" s="42" t="str">
        <x:f>IF('GL Mapping'!I22="",'GL Mapping'!C22,'GL Mapping'!I22)</x:f>
        <x:v>680100</x:v>
      </x:c>
      <x:c r="H176" s="42" t="str">
        <x:v>Property taxes</x:v>
      </x:c>
      <x:c r="I176" s="42" t="str">
        <x:f>IF('Drivers'!$D$11="","",'Drivers'!$D$11)</x:f>
        <x:v>Short-Term Rentals</x:v>
      </x:c>
      <x:c r="J176" s="42" t="str">
        <x:f>IF('Drivers'!$D$8="","",'Drivers'!$D$8)</x:f>
        <x:v>USD</x:v>
      </x:c>
      <x:c r="K176" s="42" t="str">
        <x:f>IF('Drivers'!$D$21="","",'Drivers'!$D$21)</x:f>
        <x:v>Calendar</x:v>
      </x:c>
      <x:c r="L176" s="42" t="str">
        <x:f>IF('Drivers'!$D$9="","",'Drivers'!$D$9)</x:f>
        <x:v>Accrual</x:v>
      </x:c>
      <x:c r="M176" s="70" t="str">
        <x:f>IF('Drivers'!$D$12="","",'Drivers'!$D$12)</x:f>
      </x:c>
      <x:c r="N176" s="42" t="str">
        <x:f>IF('Drivers'!$D$15="","",'Drivers'!$D$15)</x:f>
      </x:c>
      <x:c r="O176" s="42" t="str">
        <x:v>expense</x:v>
      </x:c>
      <x:c r="P176" s="42" t="str">
        <x:v>above_noi</x:v>
      </x:c>
      <x:c r="Q176" s="42" t="n">
        <x:v>1</x:v>
      </x:c>
      <x:c r="R176" s="51" t="str">
        <x:f>IF(V176="Closed: excluded","",IF(ISNUMBER('STR Build'!M46),'STR Build'!M46,""))</x:f>
      </x:c>
      <x:c r="S176" s="42" t="str">
        <x:v>STR Build!M46</x:v>
      </x:c>
      <x:c r="T176" s="42" t="str">
        <x:v>Formula</x:v>
      </x:c>
      <x:c r="U176" s="67" t="str">
        <x:f>IF(ISNUMBER(R176),IF(R176=0,"Populated zero","Populated"),"Missing")</x:f>
        <x:v>Missing</x:v>
      </x:c>
      <x:c r="V176" s="67" t="str">
        <x:f>IF(AND(ISNUMBER('Drivers'!$D$12),E176&lt;='Drivers'!$D$12),"Closed: excluded","Open forecast")</x:f>
        <x:v>Open forecast</x:v>
      </x:c>
    </x:row>
    <x:row r="177" ht="22" customHeight="1">
      <x:c r="A177" s="42"/>
      <x:c r="B177" s="42"/>
      <x:c r="C177" s="42" t="str">
        <x:f>IF('Drivers'!$D$5="","",'Drivers'!$D$5)</x:f>
      </x:c>
      <x:c r="D177" s="42" t="str">
        <x:f>IF('Drivers'!$D$4="","",'Drivers'!$D$4)</x:f>
      </x:c>
      <x:c r="E177" s="69" t="n">
        <x:f>'STR Build'!M$6</x:f>
        <x:v>46600</x:v>
      </x:c>
      <x:c r="F177" s="42" t="str">
        <x:f>IF('Drivers'!$D$10="","",'Drivers'!$D$10)</x:f>
        <x:v>Working Draft</x:v>
      </x:c>
      <x:c r="G177" s="42" t="str">
        <x:f>IF('GL Mapping'!I23="",'GL Mapping'!C23,'GL Mapping'!I23)</x:f>
        <x:v>690100</x:v>
      </x:c>
      <x:c r="H177" s="42" t="str">
        <x:v>Other operating expenses</x:v>
      </x:c>
      <x:c r="I177" s="42" t="str">
        <x:f>IF('Drivers'!$D$11="","",'Drivers'!$D$11)</x:f>
        <x:v>Short-Term Rentals</x:v>
      </x:c>
      <x:c r="J177" s="42" t="str">
        <x:f>IF('Drivers'!$D$8="","",'Drivers'!$D$8)</x:f>
        <x:v>USD</x:v>
      </x:c>
      <x:c r="K177" s="42" t="str">
        <x:f>IF('Drivers'!$D$21="","",'Drivers'!$D$21)</x:f>
        <x:v>Calendar</x:v>
      </x:c>
      <x:c r="L177" s="42" t="str">
        <x:f>IF('Drivers'!$D$9="","",'Drivers'!$D$9)</x:f>
        <x:v>Accrual</x:v>
      </x:c>
      <x:c r="M177" s="70" t="str">
        <x:f>IF('Drivers'!$D$12="","",'Drivers'!$D$12)</x:f>
      </x:c>
      <x:c r="N177" s="42" t="str">
        <x:f>IF('Drivers'!$D$15="","",'Drivers'!$D$15)</x:f>
      </x:c>
      <x:c r="O177" s="42" t="str">
        <x:v>expense</x:v>
      </x:c>
      <x:c r="P177" s="42" t="str">
        <x:v>above_noi</x:v>
      </x:c>
      <x:c r="Q177" s="42" t="n">
        <x:v>1</x:v>
      </x:c>
      <x:c r="R177" s="51" t="str">
        <x:f>IF(V177="Closed: excluded","",IF(ISNUMBER('STR Build'!M47),'STR Build'!M47,""))</x:f>
      </x:c>
      <x:c r="S177" s="42" t="str">
        <x:v>STR Build!M47</x:v>
      </x:c>
      <x:c r="T177" s="42" t="str">
        <x:v>Formula</x:v>
      </x:c>
      <x:c r="U177" s="67" t="str">
        <x:f>IF(ISNUMBER(R177),IF(R177=0,"Populated zero","Populated"),"Missing")</x:f>
        <x:v>Missing</x:v>
      </x:c>
      <x:c r="V177" s="67" t="str">
        <x:f>IF(AND(ISNUMBER('Drivers'!$D$12),E177&lt;='Drivers'!$D$12),"Closed: excluded","Open forecast")</x:f>
        <x:v>Open forecast</x:v>
      </x:c>
    </x:row>
    <x:row r="178" ht="22" customHeight="1">
      <x:c r="A178" s="42"/>
      <x:c r="B178" s="42"/>
      <x:c r="C178" s="42" t="str">
        <x:f>IF('Drivers'!$D$5="","",'Drivers'!$D$5)</x:f>
      </x:c>
      <x:c r="D178" s="42" t="str">
        <x:f>IF('Drivers'!$D$4="","",'Drivers'!$D$4)</x:f>
      </x:c>
      <x:c r="E178" s="69" t="n">
        <x:f>'STR Build'!M$6</x:f>
        <x:v>46600</x:v>
      </x:c>
      <x:c r="F178" s="42" t="str">
        <x:f>IF('Drivers'!$D$10="","",'Drivers'!$D$10)</x:f>
        <x:v>Working Draft</x:v>
      </x:c>
      <x:c r="G178" s="42" t="str">
        <x:f>IF('GL Mapping'!I24="",'GL Mapping'!C24,'GL Mapping'!I24)</x:f>
        <x:v>710100</x:v>
      </x:c>
      <x:c r="H178" s="42" t="str">
        <x:v>Other below-NOI cash costs</x:v>
      </x:c>
      <x:c r="I178" s="42" t="str">
        <x:f>IF('Drivers'!$D$11="","",'Drivers'!$D$11)</x:f>
        <x:v>Short-Term Rentals</x:v>
      </x:c>
      <x:c r="J178" s="42" t="str">
        <x:f>IF('Drivers'!$D$8="","",'Drivers'!$D$8)</x:f>
        <x:v>USD</x:v>
      </x:c>
      <x:c r="K178" s="42" t="str">
        <x:f>IF('Drivers'!$D$21="","",'Drivers'!$D$21)</x:f>
        <x:v>Calendar</x:v>
      </x:c>
      <x:c r="L178" s="42" t="str">
        <x:f>IF('Drivers'!$D$9="","",'Drivers'!$D$9)</x:f>
        <x:v>Accrual</x:v>
      </x:c>
      <x:c r="M178" s="70" t="str">
        <x:f>IF('Drivers'!$D$12="","",'Drivers'!$D$12)</x:f>
      </x:c>
      <x:c r="N178" s="42" t="str">
        <x:f>IF('Drivers'!$D$15="","",'Drivers'!$D$15)</x:f>
      </x:c>
      <x:c r="O178" s="42" t="str">
        <x:v>below_noi</x:v>
      </x:c>
      <x:c r="P178" s="42" t="str">
        <x:v>below_noi</x:v>
      </x:c>
      <x:c r="Q178" s="42" t="n">
        <x:v>1</x:v>
      </x:c>
      <x:c r="R178" s="51" t="str">
        <x:f>IF(V178="Closed: excluded","",IF(ISNUMBER('STR Build'!M55),'STR Build'!M55,""))</x:f>
      </x:c>
      <x:c r="S178" s="42" t="str">
        <x:v>STR Build!M55</x:v>
      </x:c>
      <x:c r="T178" s="42" t="str">
        <x:v>Formula</x:v>
      </x:c>
      <x:c r="U178" s="67" t="str">
        <x:f>IF(ISNUMBER(R178),IF(R178=0,"Populated zero","Populated"),"Missing")</x:f>
        <x:v>Missing</x:v>
      </x:c>
      <x:c r="V178" s="67" t="str">
        <x:f>IF(AND(ISNUMBER('Drivers'!$D$12),E178&lt;='Drivers'!$D$12),"Closed: excluded","Open forecast")</x:f>
        <x:v>Open forecast</x:v>
      </x:c>
    </x:row>
    <x:row r="179" ht="22" customHeight="1">
      <x:c r="A179" s="42"/>
      <x:c r="B179" s="42"/>
      <x:c r="C179" s="42" t="str">
        <x:f>IF('Drivers'!$D$5="","",'Drivers'!$D$5)</x:f>
      </x:c>
      <x:c r="D179" s="42" t="str">
        <x:f>IF('Drivers'!$D$4="","",'Drivers'!$D$4)</x:f>
      </x:c>
      <x:c r="E179" s="69" t="n">
        <x:f>'STR Build'!M$6</x:f>
        <x:v>46600</x:v>
      </x:c>
      <x:c r="F179" s="42" t="str">
        <x:f>IF('Drivers'!$D$10="","",'Drivers'!$D$10)</x:f>
        <x:v>Working Draft</x:v>
      </x:c>
      <x:c r="G179" s="42" t="str">
        <x:f>IF('GL Mapping'!I25="",'GL Mapping'!C25,'GL Mapping'!I25)</x:f>
        <x:v>720100</x:v>
      </x:c>
      <x:c r="H179" s="42" t="str">
        <x:v>Debt interest</x:v>
      </x:c>
      <x:c r="I179" s="42" t="str">
        <x:f>IF('Drivers'!$D$11="","",'Drivers'!$D$11)</x:f>
        <x:v>Short-Term Rentals</x:v>
      </x:c>
      <x:c r="J179" s="42" t="str">
        <x:f>IF('Drivers'!$D$8="","",'Drivers'!$D$8)</x:f>
        <x:v>USD</x:v>
      </x:c>
      <x:c r="K179" s="42" t="str">
        <x:f>IF('Drivers'!$D$21="","",'Drivers'!$D$21)</x:f>
        <x:v>Calendar</x:v>
      </x:c>
      <x:c r="L179" s="42" t="str">
        <x:f>IF('Drivers'!$D$9="","",'Drivers'!$D$9)</x:f>
        <x:v>Accrual</x:v>
      </x:c>
      <x:c r="M179" s="70" t="str">
        <x:f>IF('Drivers'!$D$12="","",'Drivers'!$D$12)</x:f>
      </x:c>
      <x:c r="N179" s="42" t="str">
        <x:f>IF('Drivers'!$D$15="","",'Drivers'!$D$15)</x:f>
      </x:c>
      <x:c r="O179" s="42" t="str">
        <x:v>debt</x:v>
      </x:c>
      <x:c r="P179" s="42" t="str">
        <x:v>below_noi</x:v>
      </x:c>
      <x:c r="Q179" s="42" t="n">
        <x:v>1</x:v>
      </x:c>
      <x:c r="R179" s="51" t="str">
        <x:f>IF(V179="Closed: excluded","",IF(ISNUMBER('STR Build'!M56),'STR Build'!M56,""))</x:f>
      </x:c>
      <x:c r="S179" s="42" t="str">
        <x:v>STR Build!M56</x:v>
      </x:c>
      <x:c r="T179" s="42" t="str">
        <x:v>Formula</x:v>
      </x:c>
      <x:c r="U179" s="67" t="str">
        <x:f>IF(ISNUMBER(R179),IF(R179=0,"Populated zero","Populated"),"Missing")</x:f>
        <x:v>Missing</x:v>
      </x:c>
      <x:c r="V179" s="67" t="str">
        <x:f>IF(AND(ISNUMBER('Drivers'!$D$12),E179&lt;='Drivers'!$D$12),"Closed: excluded","Open forecast")</x:f>
        <x:v>Open forecast</x:v>
      </x:c>
    </x:row>
    <x:row r="180" ht="22" customHeight="1">
      <x:c r="A180" s="42"/>
      <x:c r="B180" s="42"/>
      <x:c r="C180" s="42" t="str">
        <x:f>IF('Drivers'!$D$5="","",'Drivers'!$D$5)</x:f>
      </x:c>
      <x:c r="D180" s="42" t="str">
        <x:f>IF('Drivers'!$D$4="","",'Drivers'!$D$4)</x:f>
      </x:c>
      <x:c r="E180" s="69" t="n">
        <x:f>'STR Build'!M$6</x:f>
        <x:v>46600</x:v>
      </x:c>
      <x:c r="F180" s="42" t="str">
        <x:f>IF('Drivers'!$D$10="","",'Drivers'!$D$10)</x:f>
        <x:v>Working Draft</x:v>
      </x:c>
      <x:c r="G180" s="42" t="str">
        <x:f>IF('GL Mapping'!I26="",'GL Mapping'!C26,'GL Mapping'!I26)</x:f>
        <x:v>720200</x:v>
      </x:c>
      <x:c r="H180" s="42" t="str">
        <x:v>Debt principal</x:v>
      </x:c>
      <x:c r="I180" s="42" t="str">
        <x:f>IF('Drivers'!$D$11="","",'Drivers'!$D$11)</x:f>
        <x:v>Short-Term Rentals</x:v>
      </x:c>
      <x:c r="J180" s="42" t="str">
        <x:f>IF('Drivers'!$D$8="","",'Drivers'!$D$8)</x:f>
        <x:v>USD</x:v>
      </x:c>
      <x:c r="K180" s="42" t="str">
        <x:f>IF('Drivers'!$D$21="","",'Drivers'!$D$21)</x:f>
        <x:v>Calendar</x:v>
      </x:c>
      <x:c r="L180" s="42" t="str">
        <x:f>IF('Drivers'!$D$9="","",'Drivers'!$D$9)</x:f>
        <x:v>Accrual</x:v>
      </x:c>
      <x:c r="M180" s="70" t="str">
        <x:f>IF('Drivers'!$D$12="","",'Drivers'!$D$12)</x:f>
      </x:c>
      <x:c r="N180" s="42" t="str">
        <x:f>IF('Drivers'!$D$15="","",'Drivers'!$D$15)</x:f>
      </x:c>
      <x:c r="O180" s="42" t="str">
        <x:v>debt</x:v>
      </x:c>
      <x:c r="P180" s="42" t="str">
        <x:v>below_noi</x:v>
      </x:c>
      <x:c r="Q180" s="42" t="n">
        <x:v>1</x:v>
      </x:c>
      <x:c r="R180" s="51" t="str">
        <x:f>IF(V180="Closed: excluded","",IF(ISNUMBER('STR Build'!M57),'STR Build'!M57,""))</x:f>
      </x:c>
      <x:c r="S180" s="42" t="str">
        <x:v>STR Build!M57</x:v>
      </x:c>
      <x:c r="T180" s="42" t="str">
        <x:v>Formula</x:v>
      </x:c>
      <x:c r="U180" s="67" t="str">
        <x:f>IF(ISNUMBER(R180),IF(R180=0,"Populated zero","Populated"),"Missing")</x:f>
        <x:v>Missing</x:v>
      </x:c>
      <x:c r="V180" s="67" t="str">
        <x:f>IF(AND(ISNUMBER('Drivers'!$D$12),E180&lt;='Drivers'!$D$12),"Closed: excluded","Open forecast")</x:f>
        <x:v>Open forecast</x:v>
      </x:c>
    </x:row>
    <x:row r="181" ht="22" customHeight="1">
      <x:c r="A181" s="42"/>
      <x:c r="B181" s="42"/>
      <x:c r="C181" s="42" t="str">
        <x:f>IF('Drivers'!$D$5="","",'Drivers'!$D$5)</x:f>
      </x:c>
      <x:c r="D181" s="42" t="str">
        <x:f>IF('Drivers'!$D$4="","",'Drivers'!$D$4)</x:f>
      </x:c>
      <x:c r="E181" s="69" t="n">
        <x:f>'STR Build'!M$6</x:f>
        <x:v>46600</x:v>
      </x:c>
      <x:c r="F181" s="42" t="str">
        <x:f>IF('Drivers'!$D$10="","",'Drivers'!$D$10)</x:f>
        <x:v>Working Draft</x:v>
      </x:c>
      <x:c r="G181" s="42" t="str">
        <x:f>IF('GL Mapping'!I27="",'GL Mapping'!C27,'GL Mapping'!I27)</x:f>
        <x:v>730100</x:v>
      </x:c>
      <x:c r="H181" s="42" t="str">
        <x:v>Capital expenditure</x:v>
      </x:c>
      <x:c r="I181" s="42" t="str">
        <x:f>IF('Drivers'!$D$11="","",'Drivers'!$D$11)</x:f>
        <x:v>Short-Term Rentals</x:v>
      </x:c>
      <x:c r="J181" s="42" t="str">
        <x:f>IF('Drivers'!$D$8="","",'Drivers'!$D$8)</x:f>
        <x:v>USD</x:v>
      </x:c>
      <x:c r="K181" s="42" t="str">
        <x:f>IF('Drivers'!$D$21="","",'Drivers'!$D$21)</x:f>
        <x:v>Calendar</x:v>
      </x:c>
      <x:c r="L181" s="42" t="str">
        <x:f>IF('Drivers'!$D$9="","",'Drivers'!$D$9)</x:f>
        <x:v>Accrual</x:v>
      </x:c>
      <x:c r="M181" s="70" t="str">
        <x:f>IF('Drivers'!$D$12="","",'Drivers'!$D$12)</x:f>
      </x:c>
      <x:c r="N181" s="42" t="str">
        <x:f>IF('Drivers'!$D$15="","",'Drivers'!$D$15)</x:f>
      </x:c>
      <x:c r="O181" s="42" t="str">
        <x:v>capital</x:v>
      </x:c>
      <x:c r="P181" s="42" t="str">
        <x:v>below_noi</x:v>
      </x:c>
      <x:c r="Q181" s="42" t="n">
        <x:v>1</x:v>
      </x:c>
      <x:c r="R181" s="51" t="str">
        <x:f>IF(V181="Closed: excluded","",IF(ISNUMBER('STR Build'!M58),'STR Build'!M58,""))</x:f>
      </x:c>
      <x:c r="S181" s="42" t="str">
        <x:v>STR Build!M58</x:v>
      </x:c>
      <x:c r="T181" s="42" t="str">
        <x:v>Formula</x:v>
      </x:c>
      <x:c r="U181" s="67" t="str">
        <x:f>IF(ISNUMBER(R181),IF(R181=0,"Populated zero","Populated"),"Missing")</x:f>
        <x:v>Missing</x:v>
      </x:c>
      <x:c r="V181" s="67" t="str">
        <x:f>IF(AND(ISNUMBER('Drivers'!$D$12),E181&lt;='Drivers'!$D$12),"Closed: excluded","Open forecast")</x:f>
        <x:v>Open forecast</x:v>
      </x:c>
    </x:row>
    <x:row r="182" ht="22" customHeight="1">
      <x:c r="A182" s="42"/>
      <x:c r="B182" s="42"/>
      <x:c r="C182" s="42" t="str">
        <x:f>IF('Drivers'!$D$5="","",'Drivers'!$D$5)</x:f>
      </x:c>
      <x:c r="D182" s="42" t="str">
        <x:f>IF('Drivers'!$D$4="","",'Drivers'!$D$4)</x:f>
      </x:c>
      <x:c r="E182" s="69" t="n">
        <x:f>'STR Build'!M$6</x:f>
        <x:v>46600</x:v>
      </x:c>
      <x:c r="F182" s="42" t="str">
        <x:f>IF('Drivers'!$D$10="","",'Drivers'!$D$10)</x:f>
        <x:v>Working Draft</x:v>
      </x:c>
      <x:c r="G182" s="42" t="str">
        <x:f>IF('GL Mapping'!I28="",'GL Mapping'!C28,'GL Mapping'!I28)</x:f>
        <x:v>740100</x:v>
      </x:c>
      <x:c r="H182" s="42" t="str">
        <x:v>Working-capital cash use</x:v>
      </x:c>
      <x:c r="I182" s="42" t="str">
        <x:f>IF('Drivers'!$D$11="","",'Drivers'!$D$11)</x:f>
        <x:v>Short-Term Rentals</x:v>
      </x:c>
      <x:c r="J182" s="42" t="str">
        <x:f>IF('Drivers'!$D$8="","",'Drivers'!$D$8)</x:f>
        <x:v>USD</x:v>
      </x:c>
      <x:c r="K182" s="42" t="str">
        <x:f>IF('Drivers'!$D$21="","",'Drivers'!$D$21)</x:f>
        <x:v>Calendar</x:v>
      </x:c>
      <x:c r="L182" s="42" t="str">
        <x:f>IF('Drivers'!$D$9="","",'Drivers'!$D$9)</x:f>
        <x:v>Accrual</x:v>
      </x:c>
      <x:c r="M182" s="70" t="str">
        <x:f>IF('Drivers'!$D$12="","",'Drivers'!$D$12)</x:f>
      </x:c>
      <x:c r="N182" s="42" t="str">
        <x:f>IF('Drivers'!$D$15="","",'Drivers'!$D$15)</x:f>
      </x:c>
      <x:c r="O182" s="42" t="str">
        <x:v>below_noi</x:v>
      </x:c>
      <x:c r="P182" s="42" t="str">
        <x:v>below_noi</x:v>
      </x:c>
      <x:c r="Q182" s="42" t="n">
        <x:v>1</x:v>
      </x:c>
      <x:c r="R182" s="51" t="str">
        <x:f>IF(V182="Closed: excluded","",IF(ISNUMBER('STR Build'!M59),'STR Build'!M59,""))</x:f>
      </x:c>
      <x:c r="S182" s="42" t="str">
        <x:v>STR Build!M59</x:v>
      </x:c>
      <x:c r="T182" s="42" t="str">
        <x:v>Formula</x:v>
      </x:c>
      <x:c r="U182" s="67" t="str">
        <x:f>IF(ISNUMBER(R182),IF(R182=0,"Populated zero","Populated"),"Missing")</x:f>
        <x:v>Missing</x:v>
      </x:c>
      <x:c r="V182" s="67" t="str">
        <x:f>IF(AND(ISNUMBER('Drivers'!$D$12),E182&lt;='Drivers'!$D$12),"Closed: excluded","Open forecast")</x:f>
        <x:v>Open forecast</x:v>
      </x:c>
    </x:row>
    <x:row r="183" ht="22" customHeight="1">
      <x:c r="A183" s="42"/>
      <x:c r="B183" s="42"/>
      <x:c r="C183" s="42" t="str">
        <x:f>IF('Drivers'!$D$5="","",'Drivers'!$D$5)</x:f>
      </x:c>
      <x:c r="D183" s="42" t="str">
        <x:f>IF('Drivers'!$D$4="","",'Drivers'!$D$4)</x:f>
      </x:c>
      <x:c r="E183" s="69" t="n">
        <x:f>'STR Build'!N$6</x:f>
        <x:v>46631</x:v>
      </x:c>
      <x:c r="F183" s="42" t="str">
        <x:f>IF('Drivers'!$D$10="","",'Drivers'!$D$10)</x:f>
        <x:v>Working Draft</x:v>
      </x:c>
      <x:c r="G183" s="42" t="str">
        <x:f>IF('GL Mapping'!I7="",'GL Mapping'!C7,'GL Mapping'!I7)</x:f>
        <x:v>410100</x:v>
      </x:c>
      <x:c r="H183" s="42" t="str">
        <x:v>Lodging revenue</x:v>
      </x:c>
      <x:c r="I183" s="42" t="str">
        <x:f>IF('Drivers'!$D$11="","",'Drivers'!$D$11)</x:f>
        <x:v>Short-Term Rentals</x:v>
      </x:c>
      <x:c r="J183" s="42" t="str">
        <x:f>IF('Drivers'!$D$8="","",'Drivers'!$D$8)</x:f>
        <x:v>USD</x:v>
      </x:c>
      <x:c r="K183" s="42" t="str">
        <x:f>IF('Drivers'!$D$21="","",'Drivers'!$D$21)</x:f>
        <x:v>Calendar</x:v>
      </x:c>
      <x:c r="L183" s="42" t="str">
        <x:f>IF('Drivers'!$D$9="","",'Drivers'!$D$9)</x:f>
        <x:v>Accrual</x:v>
      </x:c>
      <x:c r="M183" s="70" t="str">
        <x:f>IF('Drivers'!$D$12="","",'Drivers'!$D$12)</x:f>
      </x:c>
      <x:c r="N183" s="42" t="str">
        <x:f>IF('Drivers'!$D$15="","",'Drivers'!$D$15)</x:f>
      </x:c>
      <x:c r="O183" s="42" t="str">
        <x:v>income</x:v>
      </x:c>
      <x:c r="P183" s="42" t="str">
        <x:v>above_noi</x:v>
      </x:c>
      <x:c r="Q183" s="42" t="n">
        <x:v>1</x:v>
      </x:c>
      <x:c r="R183" s="51" t="str">
        <x:f>IF(V183="Closed: excluded","",IF(ISNUMBER('STR Build'!N28),'STR Build'!N28,""))</x:f>
      </x:c>
      <x:c r="S183" s="42" t="str">
        <x:v>STR Build!N28</x:v>
      </x:c>
      <x:c r="T183" s="42" t="str">
        <x:v>Formula</x:v>
      </x:c>
      <x:c r="U183" s="67" t="str">
        <x:f>IF(ISNUMBER(R183),IF(R183=0,"Populated zero","Populated"),"Missing")</x:f>
        <x:v>Missing</x:v>
      </x:c>
      <x:c r="V183" s="67" t="str">
        <x:f>IF(AND(ISNUMBER('Drivers'!$D$12),E183&lt;='Drivers'!$D$12),"Closed: excluded","Open forecast")</x:f>
        <x:v>Open forecast</x:v>
      </x:c>
    </x:row>
    <x:row r="184" ht="22" customHeight="1">
      <x:c r="A184" s="42"/>
      <x:c r="B184" s="42"/>
      <x:c r="C184" s="42" t="str">
        <x:f>IF('Drivers'!$D$5="","",'Drivers'!$D$5)</x:f>
      </x:c>
      <x:c r="D184" s="42" t="str">
        <x:f>IF('Drivers'!$D$4="","",'Drivers'!$D$4)</x:f>
      </x:c>
      <x:c r="E184" s="69" t="n">
        <x:f>'STR Build'!N$6</x:f>
        <x:v>46631</x:v>
      </x:c>
      <x:c r="F184" s="42" t="str">
        <x:f>IF('Drivers'!$D$10="","",'Drivers'!$D$10)</x:f>
        <x:v>Working Draft</x:v>
      </x:c>
      <x:c r="G184" s="42" t="str">
        <x:f>IF('GL Mapping'!I8="",'GL Mapping'!C8,'GL Mapping'!I8)</x:f>
        <x:v>410200</x:v>
      </x:c>
      <x:c r="H184" s="42" t="str">
        <x:v>Cleaning fee income</x:v>
      </x:c>
      <x:c r="I184" s="42" t="str">
        <x:f>IF('Drivers'!$D$11="","",'Drivers'!$D$11)</x:f>
        <x:v>Short-Term Rentals</x:v>
      </x:c>
      <x:c r="J184" s="42" t="str">
        <x:f>IF('Drivers'!$D$8="","",'Drivers'!$D$8)</x:f>
        <x:v>USD</x:v>
      </x:c>
      <x:c r="K184" s="42" t="str">
        <x:f>IF('Drivers'!$D$21="","",'Drivers'!$D$21)</x:f>
        <x:v>Calendar</x:v>
      </x:c>
      <x:c r="L184" s="42" t="str">
        <x:f>IF('Drivers'!$D$9="","",'Drivers'!$D$9)</x:f>
        <x:v>Accrual</x:v>
      </x:c>
      <x:c r="M184" s="70" t="str">
        <x:f>IF('Drivers'!$D$12="","",'Drivers'!$D$12)</x:f>
      </x:c>
      <x:c r="N184" s="42" t="str">
        <x:f>IF('Drivers'!$D$15="","",'Drivers'!$D$15)</x:f>
      </x:c>
      <x:c r="O184" s="42" t="str">
        <x:v>income</x:v>
      </x:c>
      <x:c r="P184" s="42" t="str">
        <x:v>above_noi</x:v>
      </x:c>
      <x:c r="Q184" s="42" t="n">
        <x:v>1</x:v>
      </x:c>
      <x:c r="R184" s="51" t="str">
        <x:f>IF(V184="Closed: excluded","",IF(ISNUMBER('STR Build'!N29),'STR Build'!N29,""))</x:f>
      </x:c>
      <x:c r="S184" s="42" t="str">
        <x:v>STR Build!N29</x:v>
      </x:c>
      <x:c r="T184" s="42" t="str">
        <x:v>Formula</x:v>
      </x:c>
      <x:c r="U184" s="67" t="str">
        <x:f>IF(ISNUMBER(R184),IF(R184=0,"Populated zero","Populated"),"Missing")</x:f>
        <x:v>Missing</x:v>
      </x:c>
      <x:c r="V184" s="67" t="str">
        <x:f>IF(AND(ISNUMBER('Drivers'!$D$12),E184&lt;='Drivers'!$D$12),"Closed: excluded","Open forecast")</x:f>
        <x:v>Open forecast</x:v>
      </x:c>
    </x:row>
    <x:row r="185" ht="22" customHeight="1">
      <x:c r="A185" s="42"/>
      <x:c r="B185" s="42"/>
      <x:c r="C185" s="42" t="str">
        <x:f>IF('Drivers'!$D$5="","",'Drivers'!$D$5)</x:f>
      </x:c>
      <x:c r="D185" s="42" t="str">
        <x:f>IF('Drivers'!$D$4="","",'Drivers'!$D$4)</x:f>
      </x:c>
      <x:c r="E185" s="69" t="n">
        <x:f>'STR Build'!N$6</x:f>
        <x:v>46631</x:v>
      </x:c>
      <x:c r="F185" s="42" t="str">
        <x:f>IF('Drivers'!$D$10="","",'Drivers'!$D$10)</x:f>
        <x:v>Working Draft</x:v>
      </x:c>
      <x:c r="G185" s="42" t="str">
        <x:f>IF('GL Mapping'!I9="",'GL Mapping'!C9,'GL Mapping'!I9)</x:f>
        <x:v>410300</x:v>
      </x:c>
      <x:c r="H185" s="42" t="str">
        <x:v>Other guest fee income</x:v>
      </x:c>
      <x:c r="I185" s="42" t="str">
        <x:f>IF('Drivers'!$D$11="","",'Drivers'!$D$11)</x:f>
        <x:v>Short-Term Rentals</x:v>
      </x:c>
      <x:c r="J185" s="42" t="str">
        <x:f>IF('Drivers'!$D$8="","",'Drivers'!$D$8)</x:f>
        <x:v>USD</x:v>
      </x:c>
      <x:c r="K185" s="42" t="str">
        <x:f>IF('Drivers'!$D$21="","",'Drivers'!$D$21)</x:f>
        <x:v>Calendar</x:v>
      </x:c>
      <x:c r="L185" s="42" t="str">
        <x:f>IF('Drivers'!$D$9="","",'Drivers'!$D$9)</x:f>
        <x:v>Accrual</x:v>
      </x:c>
      <x:c r="M185" s="70" t="str">
        <x:f>IF('Drivers'!$D$12="","",'Drivers'!$D$12)</x:f>
      </x:c>
      <x:c r="N185" s="42" t="str">
        <x:f>IF('Drivers'!$D$15="","",'Drivers'!$D$15)</x:f>
      </x:c>
      <x:c r="O185" s="42" t="str">
        <x:v>income</x:v>
      </x:c>
      <x:c r="P185" s="42" t="str">
        <x:v>above_noi</x:v>
      </x:c>
      <x:c r="Q185" s="42" t="n">
        <x:v>1</x:v>
      </x:c>
      <x:c r="R185" s="51" t="str">
        <x:f>IF(V185="Closed: excluded","",IF(ISNUMBER('STR Build'!N30),'STR Build'!N30,""))</x:f>
      </x:c>
      <x:c r="S185" s="42" t="str">
        <x:v>STR Build!N30</x:v>
      </x:c>
      <x:c r="T185" s="42" t="str">
        <x:v>Formula</x:v>
      </x:c>
      <x:c r="U185" s="67" t="str">
        <x:f>IF(ISNUMBER(R185),IF(R185=0,"Populated zero","Populated"),"Missing")</x:f>
        <x:v>Missing</x:v>
      </x:c>
      <x:c r="V185" s="67" t="str">
        <x:f>IF(AND(ISNUMBER('Drivers'!$D$12),E185&lt;='Drivers'!$D$12),"Closed: excluded","Open forecast")</x:f>
        <x:v>Open forecast</x:v>
      </x:c>
    </x:row>
    <x:row r="186" ht="22" customHeight="1">
      <x:c r="A186" s="42"/>
      <x:c r="B186" s="42"/>
      <x:c r="C186" s="42" t="str">
        <x:f>IF('Drivers'!$D$5="","",'Drivers'!$D$5)</x:f>
      </x:c>
      <x:c r="D186" s="42" t="str">
        <x:f>IF('Drivers'!$D$4="","",'Drivers'!$D$4)</x:f>
      </x:c>
      <x:c r="E186" s="69" t="n">
        <x:f>'STR Build'!N$6</x:f>
        <x:v>46631</x:v>
      </x:c>
      <x:c r="F186" s="42" t="str">
        <x:f>IF('Drivers'!$D$10="","",'Drivers'!$D$10)</x:f>
        <x:v>Working Draft</x:v>
      </x:c>
      <x:c r="G186" s="42" t="str">
        <x:f>IF('GL Mapping'!I10="",'GL Mapping'!C10,'GL Mapping'!I10)</x:f>
        <x:v>419100</x:v>
      </x:c>
      <x:c r="H186" s="42" t="str">
        <x:v>Refunds and discounts</x:v>
      </x:c>
      <x:c r="I186" s="42" t="str">
        <x:f>IF('Drivers'!$D$11="","",'Drivers'!$D$11)</x:f>
        <x:v>Short-Term Rentals</x:v>
      </x:c>
      <x:c r="J186" s="42" t="str">
        <x:f>IF('Drivers'!$D$8="","",'Drivers'!$D$8)</x:f>
        <x:v>USD</x:v>
      </x:c>
      <x:c r="K186" s="42" t="str">
        <x:f>IF('Drivers'!$D$21="","",'Drivers'!$D$21)</x:f>
        <x:v>Calendar</x:v>
      </x:c>
      <x:c r="L186" s="42" t="str">
        <x:f>IF('Drivers'!$D$9="","",'Drivers'!$D$9)</x:f>
        <x:v>Accrual</x:v>
      </x:c>
      <x:c r="M186" s="70" t="str">
        <x:f>IF('Drivers'!$D$12="","",'Drivers'!$D$12)</x:f>
      </x:c>
      <x:c r="N186" s="42" t="str">
        <x:f>IF('Drivers'!$D$15="","",'Drivers'!$D$15)</x:f>
      </x:c>
      <x:c r="O186" s="42" t="str">
        <x:v>contra_income</x:v>
      </x:c>
      <x:c r="P186" s="42" t="str">
        <x:v>above_noi</x:v>
      </x:c>
      <x:c r="Q186" s="42" t="n">
        <x:v>1</x:v>
      </x:c>
      <x:c r="R186" s="51" t="str">
        <x:f>IF(V186="Closed: excluded","",IF(ISNUMBER('STR Build'!N32),'STR Build'!N32,""))</x:f>
      </x:c>
      <x:c r="S186" s="42" t="str">
        <x:v>STR Build!N32</x:v>
      </x:c>
      <x:c r="T186" s="42" t="str">
        <x:v>Formula</x:v>
      </x:c>
      <x:c r="U186" s="67" t="str">
        <x:f>IF(ISNUMBER(R186),IF(R186=0,"Populated zero","Populated"),"Missing")</x:f>
        <x:v>Missing</x:v>
      </x:c>
      <x:c r="V186" s="67" t="str">
        <x:f>IF(AND(ISNUMBER('Drivers'!$D$12),E186&lt;='Drivers'!$D$12),"Closed: excluded","Open forecast")</x:f>
        <x:v>Open forecast</x:v>
      </x:c>
    </x:row>
    <x:row r="187" ht="22" customHeight="1">
      <x:c r="A187" s="42"/>
      <x:c r="B187" s="42"/>
      <x:c r="C187" s="42" t="str">
        <x:f>IF('Drivers'!$D$5="","",'Drivers'!$D$5)</x:f>
      </x:c>
      <x:c r="D187" s="42" t="str">
        <x:f>IF('Drivers'!$D$4="","",'Drivers'!$D$4)</x:f>
      </x:c>
      <x:c r="E187" s="69" t="n">
        <x:f>'STR Build'!N$6</x:f>
        <x:v>46631</x:v>
      </x:c>
      <x:c r="F187" s="42" t="str">
        <x:f>IF('Drivers'!$D$10="","",'Drivers'!$D$10)</x:f>
        <x:v>Working Draft</x:v>
      </x:c>
      <x:c r="G187" s="42" t="str">
        <x:f>IF('GL Mapping'!I11="",'GL Mapping'!C11,'GL Mapping'!I11)</x:f>
        <x:v>419200</x:v>
      </x:c>
      <x:c r="H187" s="42" t="str">
        <x:v>Bad debt</x:v>
      </x:c>
      <x:c r="I187" s="42" t="str">
        <x:f>IF('Drivers'!$D$11="","",'Drivers'!$D$11)</x:f>
        <x:v>Short-Term Rentals</x:v>
      </x:c>
      <x:c r="J187" s="42" t="str">
        <x:f>IF('Drivers'!$D$8="","",'Drivers'!$D$8)</x:f>
        <x:v>USD</x:v>
      </x:c>
      <x:c r="K187" s="42" t="str">
        <x:f>IF('Drivers'!$D$21="","",'Drivers'!$D$21)</x:f>
        <x:v>Calendar</x:v>
      </x:c>
      <x:c r="L187" s="42" t="str">
        <x:f>IF('Drivers'!$D$9="","",'Drivers'!$D$9)</x:f>
        <x:v>Accrual</x:v>
      </x:c>
      <x:c r="M187" s="70" t="str">
        <x:f>IF('Drivers'!$D$12="","",'Drivers'!$D$12)</x:f>
      </x:c>
      <x:c r="N187" s="42" t="str">
        <x:f>IF('Drivers'!$D$15="","",'Drivers'!$D$15)</x:f>
      </x:c>
      <x:c r="O187" s="42" t="str">
        <x:v>contra_income</x:v>
      </x:c>
      <x:c r="P187" s="42" t="str">
        <x:v>above_noi</x:v>
      </x:c>
      <x:c r="Q187" s="42" t="n">
        <x:v>1</x:v>
      </x:c>
      <x:c r="R187" s="51" t="str">
        <x:f>IF(V187="Closed: excluded","",IF(ISNUMBER('STR Build'!N33),'STR Build'!N33,""))</x:f>
      </x:c>
      <x:c r="S187" s="42" t="str">
        <x:v>STR Build!N33</x:v>
      </x:c>
      <x:c r="T187" s="42" t="str">
        <x:v>Formula</x:v>
      </x:c>
      <x:c r="U187" s="67" t="str">
        <x:f>IF(ISNUMBER(R187),IF(R187=0,"Populated zero","Populated"),"Missing")</x:f>
        <x:v>Missing</x:v>
      </x:c>
      <x:c r="V187" s="67" t="str">
        <x:f>IF(AND(ISNUMBER('Drivers'!$D$12),E187&lt;='Drivers'!$D$12),"Closed: excluded","Open forecast")</x:f>
        <x:v>Open forecast</x:v>
      </x:c>
    </x:row>
    <x:row r="188" ht="22" customHeight="1">
      <x:c r="A188" s="42"/>
      <x:c r="B188" s="42"/>
      <x:c r="C188" s="42" t="str">
        <x:f>IF('Drivers'!$D$5="","",'Drivers'!$D$5)</x:f>
      </x:c>
      <x:c r="D188" s="42" t="str">
        <x:f>IF('Drivers'!$D$4="","",'Drivers'!$D$4)</x:f>
      </x:c>
      <x:c r="E188" s="69" t="n">
        <x:f>'STR Build'!N$6</x:f>
        <x:v>46631</x:v>
      </x:c>
      <x:c r="F188" s="42" t="str">
        <x:f>IF('Drivers'!$D$10="","",'Drivers'!$D$10)</x:f>
        <x:v>Working Draft</x:v>
      </x:c>
      <x:c r="G188" s="42" t="str">
        <x:f>IF('GL Mapping'!I12="",'GL Mapping'!C12,'GL Mapping'!I12)</x:f>
        <x:v>610100</x:v>
      </x:c>
      <x:c r="H188" s="42" t="str">
        <x:v>Channel commissions</x:v>
      </x:c>
      <x:c r="I188" s="42" t="str">
        <x:f>IF('Drivers'!$D$11="","",'Drivers'!$D$11)</x:f>
        <x:v>Short-Term Rentals</x:v>
      </x:c>
      <x:c r="J188" s="42" t="str">
        <x:f>IF('Drivers'!$D$8="","",'Drivers'!$D$8)</x:f>
        <x:v>USD</x:v>
      </x:c>
      <x:c r="K188" s="42" t="str">
        <x:f>IF('Drivers'!$D$21="","",'Drivers'!$D$21)</x:f>
        <x:v>Calendar</x:v>
      </x:c>
      <x:c r="L188" s="42" t="str">
        <x:f>IF('Drivers'!$D$9="","",'Drivers'!$D$9)</x:f>
        <x:v>Accrual</x:v>
      </x:c>
      <x:c r="M188" s="70" t="str">
        <x:f>IF('Drivers'!$D$12="","",'Drivers'!$D$12)</x:f>
      </x:c>
      <x:c r="N188" s="42" t="str">
        <x:f>IF('Drivers'!$D$15="","",'Drivers'!$D$15)</x:f>
      </x:c>
      <x:c r="O188" s="42" t="str">
        <x:v>expense</x:v>
      </x:c>
      <x:c r="P188" s="42" t="str">
        <x:v>above_noi</x:v>
      </x:c>
      <x:c r="Q188" s="42" t="n">
        <x:v>1</x:v>
      </x:c>
      <x:c r="R188" s="51" t="str">
        <x:f>IF(V188="Closed: excluded","",IF(ISNUMBER('STR Build'!N36),'STR Build'!N36,""))</x:f>
      </x:c>
      <x:c r="S188" s="42" t="str">
        <x:v>STR Build!N36</x:v>
      </x:c>
      <x:c r="T188" s="42" t="str">
        <x:v>Formula</x:v>
      </x:c>
      <x:c r="U188" s="67" t="str">
        <x:f>IF(ISNUMBER(R188),IF(R188=0,"Populated zero","Populated"),"Missing")</x:f>
        <x:v>Missing</x:v>
      </x:c>
      <x:c r="V188" s="67" t="str">
        <x:f>IF(AND(ISNUMBER('Drivers'!$D$12),E188&lt;='Drivers'!$D$12),"Closed: excluded","Open forecast")</x:f>
        <x:v>Open forecast</x:v>
      </x:c>
    </x:row>
    <x:row r="189" ht="22" customHeight="1">
      <x:c r="A189" s="42"/>
      <x:c r="B189" s="42"/>
      <x:c r="C189" s="42" t="str">
        <x:f>IF('Drivers'!$D$5="","",'Drivers'!$D$5)</x:f>
      </x:c>
      <x:c r="D189" s="42" t="str">
        <x:f>IF('Drivers'!$D$4="","",'Drivers'!$D$4)</x:f>
      </x:c>
      <x:c r="E189" s="69" t="n">
        <x:f>'STR Build'!N$6</x:f>
        <x:v>46631</x:v>
      </x:c>
      <x:c r="F189" s="42" t="str">
        <x:f>IF('Drivers'!$D$10="","",'Drivers'!$D$10)</x:f>
        <x:v>Working Draft</x:v>
      </x:c>
      <x:c r="G189" s="42" t="str">
        <x:f>IF('GL Mapping'!I13="",'GL Mapping'!C13,'GL Mapping'!I13)</x:f>
        <x:v>610200</x:v>
      </x:c>
      <x:c r="H189" s="42" t="str">
        <x:v>Cleaning expense</x:v>
      </x:c>
      <x:c r="I189" s="42" t="str">
        <x:f>IF('Drivers'!$D$11="","",'Drivers'!$D$11)</x:f>
        <x:v>Short-Term Rentals</x:v>
      </x:c>
      <x:c r="J189" s="42" t="str">
        <x:f>IF('Drivers'!$D$8="","",'Drivers'!$D$8)</x:f>
        <x:v>USD</x:v>
      </x:c>
      <x:c r="K189" s="42" t="str">
        <x:f>IF('Drivers'!$D$21="","",'Drivers'!$D$21)</x:f>
        <x:v>Calendar</x:v>
      </x:c>
      <x:c r="L189" s="42" t="str">
        <x:f>IF('Drivers'!$D$9="","",'Drivers'!$D$9)</x:f>
        <x:v>Accrual</x:v>
      </x:c>
      <x:c r="M189" s="70" t="str">
        <x:f>IF('Drivers'!$D$12="","",'Drivers'!$D$12)</x:f>
      </x:c>
      <x:c r="N189" s="42" t="str">
        <x:f>IF('Drivers'!$D$15="","",'Drivers'!$D$15)</x:f>
      </x:c>
      <x:c r="O189" s="42" t="str">
        <x:v>expense</x:v>
      </x:c>
      <x:c r="P189" s="42" t="str">
        <x:v>above_noi</x:v>
      </x:c>
      <x:c r="Q189" s="42" t="n">
        <x:v>1</x:v>
      </x:c>
      <x:c r="R189" s="51" t="str">
        <x:f>IF(V189="Closed: excluded","",IF(ISNUMBER('STR Build'!N37),'STR Build'!N37,""))</x:f>
      </x:c>
      <x:c r="S189" s="42" t="str">
        <x:v>STR Build!N37</x:v>
      </x:c>
      <x:c r="T189" s="42" t="str">
        <x:v>Formula</x:v>
      </x:c>
      <x:c r="U189" s="67" t="str">
        <x:f>IF(ISNUMBER(R189),IF(R189=0,"Populated zero","Populated"),"Missing")</x:f>
        <x:v>Missing</x:v>
      </x:c>
      <x:c r="V189" s="67" t="str">
        <x:f>IF(AND(ISNUMBER('Drivers'!$D$12),E189&lt;='Drivers'!$D$12),"Closed: excluded","Open forecast")</x:f>
        <x:v>Open forecast</x:v>
      </x:c>
    </x:row>
    <x:row r="190" ht="22" customHeight="1">
      <x:c r="A190" s="42"/>
      <x:c r="B190" s="42"/>
      <x:c r="C190" s="42" t="str">
        <x:f>IF('Drivers'!$D$5="","",'Drivers'!$D$5)</x:f>
      </x:c>
      <x:c r="D190" s="42" t="str">
        <x:f>IF('Drivers'!$D$4="","",'Drivers'!$D$4)</x:f>
      </x:c>
      <x:c r="E190" s="69" t="n">
        <x:f>'STR Build'!N$6</x:f>
        <x:v>46631</x:v>
      </x:c>
      <x:c r="F190" s="42" t="str">
        <x:f>IF('Drivers'!$D$10="","",'Drivers'!$D$10)</x:f>
        <x:v>Working Draft</x:v>
      </x:c>
      <x:c r="G190" s="42" t="str">
        <x:f>IF('GL Mapping'!I14="",'GL Mapping'!C14,'GL Mapping'!I14)</x:f>
        <x:v>610300</x:v>
      </x:c>
      <x:c r="H190" s="42" t="str">
        <x:v>Property-borne lodging tax</x:v>
      </x:c>
      <x:c r="I190" s="42" t="str">
        <x:f>IF('Drivers'!$D$11="","",'Drivers'!$D$11)</x:f>
        <x:v>Short-Term Rentals</x:v>
      </x:c>
      <x:c r="J190" s="42" t="str">
        <x:f>IF('Drivers'!$D$8="","",'Drivers'!$D$8)</x:f>
        <x:v>USD</x:v>
      </x:c>
      <x:c r="K190" s="42" t="str">
        <x:f>IF('Drivers'!$D$21="","",'Drivers'!$D$21)</x:f>
        <x:v>Calendar</x:v>
      </x:c>
      <x:c r="L190" s="42" t="str">
        <x:f>IF('Drivers'!$D$9="","",'Drivers'!$D$9)</x:f>
        <x:v>Accrual</x:v>
      </x:c>
      <x:c r="M190" s="70" t="str">
        <x:f>IF('Drivers'!$D$12="","",'Drivers'!$D$12)</x:f>
      </x:c>
      <x:c r="N190" s="42" t="str">
        <x:f>IF('Drivers'!$D$15="","",'Drivers'!$D$15)</x:f>
      </x:c>
      <x:c r="O190" s="42" t="str">
        <x:v>expense</x:v>
      </x:c>
      <x:c r="P190" s="42" t="str">
        <x:v>above_noi</x:v>
      </x:c>
      <x:c r="Q190" s="42" t="n">
        <x:v>1</x:v>
      </x:c>
      <x:c r="R190" s="51" t="str">
        <x:f>IF(V190="Closed: excluded","",IF(ISNUMBER('STR Build'!N38),'STR Build'!N38,""))</x:f>
      </x:c>
      <x:c r="S190" s="42" t="str">
        <x:v>STR Build!N38</x:v>
      </x:c>
      <x:c r="T190" s="42" t="str">
        <x:v>Formula</x:v>
      </x:c>
      <x:c r="U190" s="67" t="str">
        <x:f>IF(ISNUMBER(R190),IF(R190=0,"Populated zero","Populated"),"Missing")</x:f>
        <x:v>Missing</x:v>
      </x:c>
      <x:c r="V190" s="67" t="str">
        <x:f>IF(AND(ISNUMBER('Drivers'!$D$12),E190&lt;='Drivers'!$D$12),"Closed: excluded","Open forecast")</x:f>
        <x:v>Open forecast</x:v>
      </x:c>
    </x:row>
    <x:row r="191" ht="22" customHeight="1">
      <x:c r="A191" s="42"/>
      <x:c r="B191" s="42"/>
      <x:c r="C191" s="42" t="str">
        <x:f>IF('Drivers'!$D$5="","",'Drivers'!$D$5)</x:f>
      </x:c>
      <x:c r="D191" s="42" t="str">
        <x:f>IF('Drivers'!$D$4="","",'Drivers'!$D$4)</x:f>
      </x:c>
      <x:c r="E191" s="69" t="n">
        <x:f>'STR Build'!N$6</x:f>
        <x:v>46631</x:v>
      </x:c>
      <x:c r="F191" s="42" t="str">
        <x:f>IF('Drivers'!$D$10="","",'Drivers'!$D$10)</x:f>
        <x:v>Working Draft</x:v>
      </x:c>
      <x:c r="G191" s="42" t="str">
        <x:f>IF('GL Mapping'!I15="",'GL Mapping'!C15,'GL Mapping'!I15)</x:f>
        <x:v>610400</x:v>
      </x:c>
      <x:c r="H191" s="42" t="str">
        <x:v>Supplies</x:v>
      </x:c>
      <x:c r="I191" s="42" t="str">
        <x:f>IF('Drivers'!$D$11="","",'Drivers'!$D$11)</x:f>
        <x:v>Short-Term Rentals</x:v>
      </x:c>
      <x:c r="J191" s="42" t="str">
        <x:f>IF('Drivers'!$D$8="","",'Drivers'!$D$8)</x:f>
        <x:v>USD</x:v>
      </x:c>
      <x:c r="K191" s="42" t="str">
        <x:f>IF('Drivers'!$D$21="","",'Drivers'!$D$21)</x:f>
        <x:v>Calendar</x:v>
      </x:c>
      <x:c r="L191" s="42" t="str">
        <x:f>IF('Drivers'!$D$9="","",'Drivers'!$D$9)</x:f>
        <x:v>Accrual</x:v>
      </x:c>
      <x:c r="M191" s="70" t="str">
        <x:f>IF('Drivers'!$D$12="","",'Drivers'!$D$12)</x:f>
      </x:c>
      <x:c r="N191" s="42" t="str">
        <x:f>IF('Drivers'!$D$15="","",'Drivers'!$D$15)</x:f>
      </x:c>
      <x:c r="O191" s="42" t="str">
        <x:v>expense</x:v>
      </x:c>
      <x:c r="P191" s="42" t="str">
        <x:v>above_noi</x:v>
      </x:c>
      <x:c r="Q191" s="42" t="n">
        <x:v>1</x:v>
      </x:c>
      <x:c r="R191" s="51" t="str">
        <x:f>IF(V191="Closed: excluded","",IF(ISNUMBER('STR Build'!N39),'STR Build'!N39,""))</x:f>
      </x:c>
      <x:c r="S191" s="42" t="str">
        <x:v>STR Build!N39</x:v>
      </x:c>
      <x:c r="T191" s="42" t="str">
        <x:v>Formula</x:v>
      </x:c>
      <x:c r="U191" s="67" t="str">
        <x:f>IF(ISNUMBER(R191),IF(R191=0,"Populated zero","Populated"),"Missing")</x:f>
        <x:v>Missing</x:v>
      </x:c>
      <x:c r="V191" s="67" t="str">
        <x:f>IF(AND(ISNUMBER('Drivers'!$D$12),E191&lt;='Drivers'!$D$12),"Closed: excluded","Open forecast")</x:f>
        <x:v>Open forecast</x:v>
      </x:c>
    </x:row>
    <x:row r="192" ht="22" customHeight="1">
      <x:c r="A192" s="42"/>
      <x:c r="B192" s="42"/>
      <x:c r="C192" s="42" t="str">
        <x:f>IF('Drivers'!$D$5="","",'Drivers'!$D$5)</x:f>
      </x:c>
      <x:c r="D192" s="42" t="str">
        <x:f>IF('Drivers'!$D$4="","",'Drivers'!$D$4)</x:f>
      </x:c>
      <x:c r="E192" s="69" t="n">
        <x:f>'STR Build'!N$6</x:f>
        <x:v>46631</x:v>
      </x:c>
      <x:c r="F192" s="42" t="str">
        <x:f>IF('Drivers'!$D$10="","",'Drivers'!$D$10)</x:f>
        <x:v>Working Draft</x:v>
      </x:c>
      <x:c r="G192" s="42" t="str">
        <x:f>IF('GL Mapping'!I16="",'GL Mapping'!C16,'GL Mapping'!I16)</x:f>
        <x:v>620100</x:v>
      </x:c>
      <x:c r="H192" s="42" t="str">
        <x:v>Payroll</x:v>
      </x:c>
      <x:c r="I192" s="42" t="str">
        <x:f>IF('Drivers'!$D$11="","",'Drivers'!$D$11)</x:f>
        <x:v>Short-Term Rentals</x:v>
      </x:c>
      <x:c r="J192" s="42" t="str">
        <x:f>IF('Drivers'!$D$8="","",'Drivers'!$D$8)</x:f>
        <x:v>USD</x:v>
      </x:c>
      <x:c r="K192" s="42" t="str">
        <x:f>IF('Drivers'!$D$21="","",'Drivers'!$D$21)</x:f>
        <x:v>Calendar</x:v>
      </x:c>
      <x:c r="L192" s="42" t="str">
        <x:f>IF('Drivers'!$D$9="","",'Drivers'!$D$9)</x:f>
        <x:v>Accrual</x:v>
      </x:c>
      <x:c r="M192" s="70" t="str">
        <x:f>IF('Drivers'!$D$12="","",'Drivers'!$D$12)</x:f>
      </x:c>
      <x:c r="N192" s="42" t="str">
        <x:f>IF('Drivers'!$D$15="","",'Drivers'!$D$15)</x:f>
      </x:c>
      <x:c r="O192" s="42" t="str">
        <x:v>expense</x:v>
      </x:c>
      <x:c r="P192" s="42" t="str">
        <x:v>above_noi</x:v>
      </x:c>
      <x:c r="Q192" s="42" t="n">
        <x:v>1</x:v>
      </x:c>
      <x:c r="R192" s="51" t="str">
        <x:f>IF(V192="Closed: excluded","",IF(ISNUMBER('STR Build'!N40),'STR Build'!N40,""))</x:f>
      </x:c>
      <x:c r="S192" s="42" t="str">
        <x:v>STR Build!N40</x:v>
      </x:c>
      <x:c r="T192" s="42" t="str">
        <x:v>Formula</x:v>
      </x:c>
      <x:c r="U192" s="67" t="str">
        <x:f>IF(ISNUMBER(R192),IF(R192=0,"Populated zero","Populated"),"Missing")</x:f>
        <x:v>Missing</x:v>
      </x:c>
      <x:c r="V192" s="67" t="str">
        <x:f>IF(AND(ISNUMBER('Drivers'!$D$12),E192&lt;='Drivers'!$D$12),"Closed: excluded","Open forecast")</x:f>
        <x:v>Open forecast</x:v>
      </x:c>
    </x:row>
    <x:row r="193" ht="22" customHeight="1">
      <x:c r="A193" s="42"/>
      <x:c r="B193" s="42"/>
      <x:c r="C193" s="42" t="str">
        <x:f>IF('Drivers'!$D$5="","",'Drivers'!$D$5)</x:f>
      </x:c>
      <x:c r="D193" s="42" t="str">
        <x:f>IF('Drivers'!$D$4="","",'Drivers'!$D$4)</x:f>
      </x:c>
      <x:c r="E193" s="69" t="n">
        <x:f>'STR Build'!N$6</x:f>
        <x:v>46631</x:v>
      </x:c>
      <x:c r="F193" s="42" t="str">
        <x:f>IF('Drivers'!$D$10="","",'Drivers'!$D$10)</x:f>
        <x:v>Working Draft</x:v>
      </x:c>
      <x:c r="G193" s="42" t="str">
        <x:f>IF('GL Mapping'!I17="",'GL Mapping'!C17,'GL Mapping'!I17)</x:f>
        <x:v>630100</x:v>
      </x:c>
      <x:c r="H193" s="42" t="str">
        <x:v>Utilities</x:v>
      </x:c>
      <x:c r="I193" s="42" t="str">
        <x:f>IF('Drivers'!$D$11="","",'Drivers'!$D$11)</x:f>
        <x:v>Short-Term Rentals</x:v>
      </x:c>
      <x:c r="J193" s="42" t="str">
        <x:f>IF('Drivers'!$D$8="","",'Drivers'!$D$8)</x:f>
        <x:v>USD</x:v>
      </x:c>
      <x:c r="K193" s="42" t="str">
        <x:f>IF('Drivers'!$D$21="","",'Drivers'!$D$21)</x:f>
        <x:v>Calendar</x:v>
      </x:c>
      <x:c r="L193" s="42" t="str">
        <x:f>IF('Drivers'!$D$9="","",'Drivers'!$D$9)</x:f>
        <x:v>Accrual</x:v>
      </x:c>
      <x:c r="M193" s="70" t="str">
        <x:f>IF('Drivers'!$D$12="","",'Drivers'!$D$12)</x:f>
      </x:c>
      <x:c r="N193" s="42" t="str">
        <x:f>IF('Drivers'!$D$15="","",'Drivers'!$D$15)</x:f>
      </x:c>
      <x:c r="O193" s="42" t="str">
        <x:v>expense</x:v>
      </x:c>
      <x:c r="P193" s="42" t="str">
        <x:v>above_noi</x:v>
      </x:c>
      <x:c r="Q193" s="42" t="n">
        <x:v>1</x:v>
      </x:c>
      <x:c r="R193" s="51" t="str">
        <x:f>IF(V193="Closed: excluded","",IF(ISNUMBER('STR Build'!N41),'STR Build'!N41,""))</x:f>
      </x:c>
      <x:c r="S193" s="42" t="str">
        <x:v>STR Build!N41</x:v>
      </x:c>
      <x:c r="T193" s="42" t="str">
        <x:v>Formula</x:v>
      </x:c>
      <x:c r="U193" s="67" t="str">
        <x:f>IF(ISNUMBER(R193),IF(R193=0,"Populated zero","Populated"),"Missing")</x:f>
        <x:v>Missing</x:v>
      </x:c>
      <x:c r="V193" s="67" t="str">
        <x:f>IF(AND(ISNUMBER('Drivers'!$D$12),E193&lt;='Drivers'!$D$12),"Closed: excluded","Open forecast")</x:f>
        <x:v>Open forecast</x:v>
      </x:c>
    </x:row>
    <x:row r="194" ht="22" customHeight="1">
      <x:c r="A194" s="42"/>
      <x:c r="B194" s="42"/>
      <x:c r="C194" s="42" t="str">
        <x:f>IF('Drivers'!$D$5="","",'Drivers'!$D$5)</x:f>
      </x:c>
      <x:c r="D194" s="42" t="str">
        <x:f>IF('Drivers'!$D$4="","",'Drivers'!$D$4)</x:f>
      </x:c>
      <x:c r="E194" s="69" t="n">
        <x:f>'STR Build'!N$6</x:f>
        <x:v>46631</x:v>
      </x:c>
      <x:c r="F194" s="42" t="str">
        <x:f>IF('Drivers'!$D$10="","",'Drivers'!$D$10)</x:f>
        <x:v>Working Draft</x:v>
      </x:c>
      <x:c r="G194" s="42" t="str">
        <x:f>IF('GL Mapping'!I18="",'GL Mapping'!C18,'GL Mapping'!I18)</x:f>
        <x:v>640100</x:v>
      </x:c>
      <x:c r="H194" s="42" t="str">
        <x:v>Contracts</x:v>
      </x:c>
      <x:c r="I194" s="42" t="str">
        <x:f>IF('Drivers'!$D$11="","",'Drivers'!$D$11)</x:f>
        <x:v>Short-Term Rentals</x:v>
      </x:c>
      <x:c r="J194" s="42" t="str">
        <x:f>IF('Drivers'!$D$8="","",'Drivers'!$D$8)</x:f>
        <x:v>USD</x:v>
      </x:c>
      <x:c r="K194" s="42" t="str">
        <x:f>IF('Drivers'!$D$21="","",'Drivers'!$D$21)</x:f>
        <x:v>Calendar</x:v>
      </x:c>
      <x:c r="L194" s="42" t="str">
        <x:f>IF('Drivers'!$D$9="","",'Drivers'!$D$9)</x:f>
        <x:v>Accrual</x:v>
      </x:c>
      <x:c r="M194" s="70" t="str">
        <x:f>IF('Drivers'!$D$12="","",'Drivers'!$D$12)</x:f>
      </x:c>
      <x:c r="N194" s="42" t="str">
        <x:f>IF('Drivers'!$D$15="","",'Drivers'!$D$15)</x:f>
      </x:c>
      <x:c r="O194" s="42" t="str">
        <x:v>expense</x:v>
      </x:c>
      <x:c r="P194" s="42" t="str">
        <x:v>above_noi</x:v>
      </x:c>
      <x:c r="Q194" s="42" t="n">
        <x:v>1</x:v>
      </x:c>
      <x:c r="R194" s="51" t="str">
        <x:f>IF(V194="Closed: excluded","",IF(ISNUMBER('STR Build'!N42),'STR Build'!N42,""))</x:f>
      </x:c>
      <x:c r="S194" s="42" t="str">
        <x:v>STR Build!N42</x:v>
      </x:c>
      <x:c r="T194" s="42" t="str">
        <x:v>Formula</x:v>
      </x:c>
      <x:c r="U194" s="67" t="str">
        <x:f>IF(ISNUMBER(R194),IF(R194=0,"Populated zero","Populated"),"Missing")</x:f>
        <x:v>Missing</x:v>
      </x:c>
      <x:c r="V194" s="67" t="str">
        <x:f>IF(AND(ISNUMBER('Drivers'!$D$12),E194&lt;='Drivers'!$D$12),"Closed: excluded","Open forecast")</x:f>
        <x:v>Open forecast</x:v>
      </x:c>
    </x:row>
    <x:row r="195" ht="22" customHeight="1">
      <x:c r="A195" s="42"/>
      <x:c r="B195" s="42"/>
      <x:c r="C195" s="42" t="str">
        <x:f>IF('Drivers'!$D$5="","",'Drivers'!$D$5)</x:f>
      </x:c>
      <x:c r="D195" s="42" t="str">
        <x:f>IF('Drivers'!$D$4="","",'Drivers'!$D$4)</x:f>
      </x:c>
      <x:c r="E195" s="69" t="n">
        <x:f>'STR Build'!N$6</x:f>
        <x:v>46631</x:v>
      </x:c>
      <x:c r="F195" s="42" t="str">
        <x:f>IF('Drivers'!$D$10="","",'Drivers'!$D$10)</x:f>
        <x:v>Working Draft</x:v>
      </x:c>
      <x:c r="G195" s="42" t="str">
        <x:f>IF('GL Mapping'!I19="",'GL Mapping'!C19,'GL Mapping'!I19)</x:f>
        <x:v>650100</x:v>
      </x:c>
      <x:c r="H195" s="42" t="str">
        <x:v>Marketing</x:v>
      </x:c>
      <x:c r="I195" s="42" t="str">
        <x:f>IF('Drivers'!$D$11="","",'Drivers'!$D$11)</x:f>
        <x:v>Short-Term Rentals</x:v>
      </x:c>
      <x:c r="J195" s="42" t="str">
        <x:f>IF('Drivers'!$D$8="","",'Drivers'!$D$8)</x:f>
        <x:v>USD</x:v>
      </x:c>
      <x:c r="K195" s="42" t="str">
        <x:f>IF('Drivers'!$D$21="","",'Drivers'!$D$21)</x:f>
        <x:v>Calendar</x:v>
      </x:c>
      <x:c r="L195" s="42" t="str">
        <x:f>IF('Drivers'!$D$9="","",'Drivers'!$D$9)</x:f>
        <x:v>Accrual</x:v>
      </x:c>
      <x:c r="M195" s="70" t="str">
        <x:f>IF('Drivers'!$D$12="","",'Drivers'!$D$12)</x:f>
      </x:c>
      <x:c r="N195" s="42" t="str">
        <x:f>IF('Drivers'!$D$15="","",'Drivers'!$D$15)</x:f>
      </x:c>
      <x:c r="O195" s="42" t="str">
        <x:v>expense</x:v>
      </x:c>
      <x:c r="P195" s="42" t="str">
        <x:v>above_noi</x:v>
      </x:c>
      <x:c r="Q195" s="42" t="n">
        <x:v>1</x:v>
      </x:c>
      <x:c r="R195" s="51" t="str">
        <x:f>IF(V195="Closed: excluded","",IF(ISNUMBER('STR Build'!N43),'STR Build'!N43,""))</x:f>
      </x:c>
      <x:c r="S195" s="42" t="str">
        <x:v>STR Build!N43</x:v>
      </x:c>
      <x:c r="T195" s="42" t="str">
        <x:v>Formula</x:v>
      </x:c>
      <x:c r="U195" s="67" t="str">
        <x:f>IF(ISNUMBER(R195),IF(R195=0,"Populated zero","Populated"),"Missing")</x:f>
        <x:v>Missing</x:v>
      </x:c>
      <x:c r="V195" s="67" t="str">
        <x:f>IF(AND(ISNUMBER('Drivers'!$D$12),E195&lt;='Drivers'!$D$12),"Closed: excluded","Open forecast")</x:f>
        <x:v>Open forecast</x:v>
      </x:c>
    </x:row>
    <x:row r="196" ht="22" customHeight="1">
      <x:c r="A196" s="42"/>
      <x:c r="B196" s="42"/>
      <x:c r="C196" s="42" t="str">
        <x:f>IF('Drivers'!$D$5="","",'Drivers'!$D$5)</x:f>
      </x:c>
      <x:c r="D196" s="42" t="str">
        <x:f>IF('Drivers'!$D$4="","",'Drivers'!$D$4)</x:f>
      </x:c>
      <x:c r="E196" s="69" t="n">
        <x:f>'STR Build'!N$6</x:f>
        <x:v>46631</x:v>
      </x:c>
      <x:c r="F196" s="42" t="str">
        <x:f>IF('Drivers'!$D$10="","",'Drivers'!$D$10)</x:f>
        <x:v>Working Draft</x:v>
      </x:c>
      <x:c r="G196" s="42" t="str">
        <x:f>IF('GL Mapping'!I20="",'GL Mapping'!C20,'GL Mapping'!I20)</x:f>
        <x:v>660100</x:v>
      </x:c>
      <x:c r="H196" s="42" t="str">
        <x:v>Maintenance</x:v>
      </x:c>
      <x:c r="I196" s="42" t="str">
        <x:f>IF('Drivers'!$D$11="","",'Drivers'!$D$11)</x:f>
        <x:v>Short-Term Rentals</x:v>
      </x:c>
      <x:c r="J196" s="42" t="str">
        <x:f>IF('Drivers'!$D$8="","",'Drivers'!$D$8)</x:f>
        <x:v>USD</x:v>
      </x:c>
      <x:c r="K196" s="42" t="str">
        <x:f>IF('Drivers'!$D$21="","",'Drivers'!$D$21)</x:f>
        <x:v>Calendar</x:v>
      </x:c>
      <x:c r="L196" s="42" t="str">
        <x:f>IF('Drivers'!$D$9="","",'Drivers'!$D$9)</x:f>
        <x:v>Accrual</x:v>
      </x:c>
      <x:c r="M196" s="70" t="str">
        <x:f>IF('Drivers'!$D$12="","",'Drivers'!$D$12)</x:f>
      </x:c>
      <x:c r="N196" s="42" t="str">
        <x:f>IF('Drivers'!$D$15="","",'Drivers'!$D$15)</x:f>
      </x:c>
      <x:c r="O196" s="42" t="str">
        <x:v>expense</x:v>
      </x:c>
      <x:c r="P196" s="42" t="str">
        <x:v>above_noi</x:v>
      </x:c>
      <x:c r="Q196" s="42" t="n">
        <x:v>1</x:v>
      </x:c>
      <x:c r="R196" s="51" t="str">
        <x:f>IF(V196="Closed: excluded","",IF(ISNUMBER('STR Build'!N44),'STR Build'!N44,""))</x:f>
      </x:c>
      <x:c r="S196" s="42" t="str">
        <x:v>STR Build!N44</x:v>
      </x:c>
      <x:c r="T196" s="42" t="str">
        <x:v>Formula</x:v>
      </x:c>
      <x:c r="U196" s="67" t="str">
        <x:f>IF(ISNUMBER(R196),IF(R196=0,"Populated zero","Populated"),"Missing")</x:f>
        <x:v>Missing</x:v>
      </x:c>
      <x:c r="V196" s="67" t="str">
        <x:f>IF(AND(ISNUMBER('Drivers'!$D$12),E196&lt;='Drivers'!$D$12),"Closed: excluded","Open forecast")</x:f>
        <x:v>Open forecast</x:v>
      </x:c>
    </x:row>
    <x:row r="197" ht="22" customHeight="1">
      <x:c r="A197" s="42"/>
      <x:c r="B197" s="42"/>
      <x:c r="C197" s="42" t="str">
        <x:f>IF('Drivers'!$D$5="","",'Drivers'!$D$5)</x:f>
      </x:c>
      <x:c r="D197" s="42" t="str">
        <x:f>IF('Drivers'!$D$4="","",'Drivers'!$D$4)</x:f>
      </x:c>
      <x:c r="E197" s="69" t="n">
        <x:f>'STR Build'!N$6</x:f>
        <x:v>46631</x:v>
      </x:c>
      <x:c r="F197" s="42" t="str">
        <x:f>IF('Drivers'!$D$10="","",'Drivers'!$D$10)</x:f>
        <x:v>Working Draft</x:v>
      </x:c>
      <x:c r="G197" s="42" t="str">
        <x:f>IF('GL Mapping'!I21="",'GL Mapping'!C21,'GL Mapping'!I21)</x:f>
        <x:v>670100</x:v>
      </x:c>
      <x:c r="H197" s="42" t="str">
        <x:v>Insurance</x:v>
      </x:c>
      <x:c r="I197" s="42" t="str">
        <x:f>IF('Drivers'!$D$11="","",'Drivers'!$D$11)</x:f>
        <x:v>Short-Term Rentals</x:v>
      </x:c>
      <x:c r="J197" s="42" t="str">
        <x:f>IF('Drivers'!$D$8="","",'Drivers'!$D$8)</x:f>
        <x:v>USD</x:v>
      </x:c>
      <x:c r="K197" s="42" t="str">
        <x:f>IF('Drivers'!$D$21="","",'Drivers'!$D$21)</x:f>
        <x:v>Calendar</x:v>
      </x:c>
      <x:c r="L197" s="42" t="str">
        <x:f>IF('Drivers'!$D$9="","",'Drivers'!$D$9)</x:f>
        <x:v>Accrual</x:v>
      </x:c>
      <x:c r="M197" s="70" t="str">
        <x:f>IF('Drivers'!$D$12="","",'Drivers'!$D$12)</x:f>
      </x:c>
      <x:c r="N197" s="42" t="str">
        <x:f>IF('Drivers'!$D$15="","",'Drivers'!$D$15)</x:f>
      </x:c>
      <x:c r="O197" s="42" t="str">
        <x:v>expense</x:v>
      </x:c>
      <x:c r="P197" s="42" t="str">
        <x:v>above_noi</x:v>
      </x:c>
      <x:c r="Q197" s="42" t="n">
        <x:v>1</x:v>
      </x:c>
      <x:c r="R197" s="51" t="str">
        <x:f>IF(V197="Closed: excluded","",IF(ISNUMBER('STR Build'!N45),'STR Build'!N45,""))</x:f>
      </x:c>
      <x:c r="S197" s="42" t="str">
        <x:v>STR Build!N45</x:v>
      </x:c>
      <x:c r="T197" s="42" t="str">
        <x:v>Formula</x:v>
      </x:c>
      <x:c r="U197" s="67" t="str">
        <x:f>IF(ISNUMBER(R197),IF(R197=0,"Populated zero","Populated"),"Missing")</x:f>
        <x:v>Missing</x:v>
      </x:c>
      <x:c r="V197" s="67" t="str">
        <x:f>IF(AND(ISNUMBER('Drivers'!$D$12),E197&lt;='Drivers'!$D$12),"Closed: excluded","Open forecast")</x:f>
        <x:v>Open forecast</x:v>
      </x:c>
    </x:row>
    <x:row r="198" ht="22" customHeight="1">
      <x:c r="A198" s="42"/>
      <x:c r="B198" s="42"/>
      <x:c r="C198" s="42" t="str">
        <x:f>IF('Drivers'!$D$5="","",'Drivers'!$D$5)</x:f>
      </x:c>
      <x:c r="D198" s="42" t="str">
        <x:f>IF('Drivers'!$D$4="","",'Drivers'!$D$4)</x:f>
      </x:c>
      <x:c r="E198" s="69" t="n">
        <x:f>'STR Build'!N$6</x:f>
        <x:v>46631</x:v>
      </x:c>
      <x:c r="F198" s="42" t="str">
        <x:f>IF('Drivers'!$D$10="","",'Drivers'!$D$10)</x:f>
        <x:v>Working Draft</x:v>
      </x:c>
      <x:c r="G198" s="42" t="str">
        <x:f>IF('GL Mapping'!I22="",'GL Mapping'!C22,'GL Mapping'!I22)</x:f>
        <x:v>680100</x:v>
      </x:c>
      <x:c r="H198" s="42" t="str">
        <x:v>Property taxes</x:v>
      </x:c>
      <x:c r="I198" s="42" t="str">
        <x:f>IF('Drivers'!$D$11="","",'Drivers'!$D$11)</x:f>
        <x:v>Short-Term Rentals</x:v>
      </x:c>
      <x:c r="J198" s="42" t="str">
        <x:f>IF('Drivers'!$D$8="","",'Drivers'!$D$8)</x:f>
        <x:v>USD</x:v>
      </x:c>
      <x:c r="K198" s="42" t="str">
        <x:f>IF('Drivers'!$D$21="","",'Drivers'!$D$21)</x:f>
        <x:v>Calendar</x:v>
      </x:c>
      <x:c r="L198" s="42" t="str">
        <x:f>IF('Drivers'!$D$9="","",'Drivers'!$D$9)</x:f>
        <x:v>Accrual</x:v>
      </x:c>
      <x:c r="M198" s="70" t="str">
        <x:f>IF('Drivers'!$D$12="","",'Drivers'!$D$12)</x:f>
      </x:c>
      <x:c r="N198" s="42" t="str">
        <x:f>IF('Drivers'!$D$15="","",'Drivers'!$D$15)</x:f>
      </x:c>
      <x:c r="O198" s="42" t="str">
        <x:v>expense</x:v>
      </x:c>
      <x:c r="P198" s="42" t="str">
        <x:v>above_noi</x:v>
      </x:c>
      <x:c r="Q198" s="42" t="n">
        <x:v>1</x:v>
      </x:c>
      <x:c r="R198" s="51" t="str">
        <x:f>IF(V198="Closed: excluded","",IF(ISNUMBER('STR Build'!N46),'STR Build'!N46,""))</x:f>
      </x:c>
      <x:c r="S198" s="42" t="str">
        <x:v>STR Build!N46</x:v>
      </x:c>
      <x:c r="T198" s="42" t="str">
        <x:v>Formula</x:v>
      </x:c>
      <x:c r="U198" s="67" t="str">
        <x:f>IF(ISNUMBER(R198),IF(R198=0,"Populated zero","Populated"),"Missing")</x:f>
        <x:v>Missing</x:v>
      </x:c>
      <x:c r="V198" s="67" t="str">
        <x:f>IF(AND(ISNUMBER('Drivers'!$D$12),E198&lt;='Drivers'!$D$12),"Closed: excluded","Open forecast")</x:f>
        <x:v>Open forecast</x:v>
      </x:c>
    </x:row>
    <x:row r="199" ht="22" customHeight="1">
      <x:c r="A199" s="42"/>
      <x:c r="B199" s="42"/>
      <x:c r="C199" s="42" t="str">
        <x:f>IF('Drivers'!$D$5="","",'Drivers'!$D$5)</x:f>
      </x:c>
      <x:c r="D199" s="42" t="str">
        <x:f>IF('Drivers'!$D$4="","",'Drivers'!$D$4)</x:f>
      </x:c>
      <x:c r="E199" s="69" t="n">
        <x:f>'STR Build'!N$6</x:f>
        <x:v>46631</x:v>
      </x:c>
      <x:c r="F199" s="42" t="str">
        <x:f>IF('Drivers'!$D$10="","",'Drivers'!$D$10)</x:f>
        <x:v>Working Draft</x:v>
      </x:c>
      <x:c r="G199" s="42" t="str">
        <x:f>IF('GL Mapping'!I23="",'GL Mapping'!C23,'GL Mapping'!I23)</x:f>
        <x:v>690100</x:v>
      </x:c>
      <x:c r="H199" s="42" t="str">
        <x:v>Other operating expenses</x:v>
      </x:c>
      <x:c r="I199" s="42" t="str">
        <x:f>IF('Drivers'!$D$11="","",'Drivers'!$D$11)</x:f>
        <x:v>Short-Term Rentals</x:v>
      </x:c>
      <x:c r="J199" s="42" t="str">
        <x:f>IF('Drivers'!$D$8="","",'Drivers'!$D$8)</x:f>
        <x:v>USD</x:v>
      </x:c>
      <x:c r="K199" s="42" t="str">
        <x:f>IF('Drivers'!$D$21="","",'Drivers'!$D$21)</x:f>
        <x:v>Calendar</x:v>
      </x:c>
      <x:c r="L199" s="42" t="str">
        <x:f>IF('Drivers'!$D$9="","",'Drivers'!$D$9)</x:f>
        <x:v>Accrual</x:v>
      </x:c>
      <x:c r="M199" s="70" t="str">
        <x:f>IF('Drivers'!$D$12="","",'Drivers'!$D$12)</x:f>
      </x:c>
      <x:c r="N199" s="42" t="str">
        <x:f>IF('Drivers'!$D$15="","",'Drivers'!$D$15)</x:f>
      </x:c>
      <x:c r="O199" s="42" t="str">
        <x:v>expense</x:v>
      </x:c>
      <x:c r="P199" s="42" t="str">
        <x:v>above_noi</x:v>
      </x:c>
      <x:c r="Q199" s="42" t="n">
        <x:v>1</x:v>
      </x:c>
      <x:c r="R199" s="51" t="str">
        <x:f>IF(V199="Closed: excluded","",IF(ISNUMBER('STR Build'!N47),'STR Build'!N47,""))</x:f>
      </x:c>
      <x:c r="S199" s="42" t="str">
        <x:v>STR Build!N47</x:v>
      </x:c>
      <x:c r="T199" s="42" t="str">
        <x:v>Formula</x:v>
      </x:c>
      <x:c r="U199" s="67" t="str">
        <x:f>IF(ISNUMBER(R199),IF(R199=0,"Populated zero","Populated"),"Missing")</x:f>
        <x:v>Missing</x:v>
      </x:c>
      <x:c r="V199" s="67" t="str">
        <x:f>IF(AND(ISNUMBER('Drivers'!$D$12),E199&lt;='Drivers'!$D$12),"Closed: excluded","Open forecast")</x:f>
        <x:v>Open forecast</x:v>
      </x:c>
    </x:row>
    <x:row r="200" ht="22" customHeight="1">
      <x:c r="A200" s="42"/>
      <x:c r="B200" s="42"/>
      <x:c r="C200" s="42" t="str">
        <x:f>IF('Drivers'!$D$5="","",'Drivers'!$D$5)</x:f>
      </x:c>
      <x:c r="D200" s="42" t="str">
        <x:f>IF('Drivers'!$D$4="","",'Drivers'!$D$4)</x:f>
      </x:c>
      <x:c r="E200" s="69" t="n">
        <x:f>'STR Build'!N$6</x:f>
        <x:v>46631</x:v>
      </x:c>
      <x:c r="F200" s="42" t="str">
        <x:f>IF('Drivers'!$D$10="","",'Drivers'!$D$10)</x:f>
        <x:v>Working Draft</x:v>
      </x:c>
      <x:c r="G200" s="42" t="str">
        <x:f>IF('GL Mapping'!I24="",'GL Mapping'!C24,'GL Mapping'!I24)</x:f>
        <x:v>710100</x:v>
      </x:c>
      <x:c r="H200" s="42" t="str">
        <x:v>Other below-NOI cash costs</x:v>
      </x:c>
      <x:c r="I200" s="42" t="str">
        <x:f>IF('Drivers'!$D$11="","",'Drivers'!$D$11)</x:f>
        <x:v>Short-Term Rentals</x:v>
      </x:c>
      <x:c r="J200" s="42" t="str">
        <x:f>IF('Drivers'!$D$8="","",'Drivers'!$D$8)</x:f>
        <x:v>USD</x:v>
      </x:c>
      <x:c r="K200" s="42" t="str">
        <x:f>IF('Drivers'!$D$21="","",'Drivers'!$D$21)</x:f>
        <x:v>Calendar</x:v>
      </x:c>
      <x:c r="L200" s="42" t="str">
        <x:f>IF('Drivers'!$D$9="","",'Drivers'!$D$9)</x:f>
        <x:v>Accrual</x:v>
      </x:c>
      <x:c r="M200" s="70" t="str">
        <x:f>IF('Drivers'!$D$12="","",'Drivers'!$D$12)</x:f>
      </x:c>
      <x:c r="N200" s="42" t="str">
        <x:f>IF('Drivers'!$D$15="","",'Drivers'!$D$15)</x:f>
      </x:c>
      <x:c r="O200" s="42" t="str">
        <x:v>below_noi</x:v>
      </x:c>
      <x:c r="P200" s="42" t="str">
        <x:v>below_noi</x:v>
      </x:c>
      <x:c r="Q200" s="42" t="n">
        <x:v>1</x:v>
      </x:c>
      <x:c r="R200" s="51" t="str">
        <x:f>IF(V200="Closed: excluded","",IF(ISNUMBER('STR Build'!N55),'STR Build'!N55,""))</x:f>
      </x:c>
      <x:c r="S200" s="42" t="str">
        <x:v>STR Build!N55</x:v>
      </x:c>
      <x:c r="T200" s="42" t="str">
        <x:v>Formula</x:v>
      </x:c>
      <x:c r="U200" s="67" t="str">
        <x:f>IF(ISNUMBER(R200),IF(R200=0,"Populated zero","Populated"),"Missing")</x:f>
        <x:v>Missing</x:v>
      </x:c>
      <x:c r="V200" s="67" t="str">
        <x:f>IF(AND(ISNUMBER('Drivers'!$D$12),E200&lt;='Drivers'!$D$12),"Closed: excluded","Open forecast")</x:f>
        <x:v>Open forecast</x:v>
      </x:c>
    </x:row>
    <x:row r="201" ht="22" customHeight="1">
      <x:c r="A201" s="42"/>
      <x:c r="B201" s="42"/>
      <x:c r="C201" s="42" t="str">
        <x:f>IF('Drivers'!$D$5="","",'Drivers'!$D$5)</x:f>
      </x:c>
      <x:c r="D201" s="42" t="str">
        <x:f>IF('Drivers'!$D$4="","",'Drivers'!$D$4)</x:f>
      </x:c>
      <x:c r="E201" s="69" t="n">
        <x:f>'STR Build'!N$6</x:f>
        <x:v>46631</x:v>
      </x:c>
      <x:c r="F201" s="42" t="str">
        <x:f>IF('Drivers'!$D$10="","",'Drivers'!$D$10)</x:f>
        <x:v>Working Draft</x:v>
      </x:c>
      <x:c r="G201" s="42" t="str">
        <x:f>IF('GL Mapping'!I25="",'GL Mapping'!C25,'GL Mapping'!I25)</x:f>
        <x:v>720100</x:v>
      </x:c>
      <x:c r="H201" s="42" t="str">
        <x:v>Debt interest</x:v>
      </x:c>
      <x:c r="I201" s="42" t="str">
        <x:f>IF('Drivers'!$D$11="","",'Drivers'!$D$11)</x:f>
        <x:v>Short-Term Rentals</x:v>
      </x:c>
      <x:c r="J201" s="42" t="str">
        <x:f>IF('Drivers'!$D$8="","",'Drivers'!$D$8)</x:f>
        <x:v>USD</x:v>
      </x:c>
      <x:c r="K201" s="42" t="str">
        <x:f>IF('Drivers'!$D$21="","",'Drivers'!$D$21)</x:f>
        <x:v>Calendar</x:v>
      </x:c>
      <x:c r="L201" s="42" t="str">
        <x:f>IF('Drivers'!$D$9="","",'Drivers'!$D$9)</x:f>
        <x:v>Accrual</x:v>
      </x:c>
      <x:c r="M201" s="70" t="str">
        <x:f>IF('Drivers'!$D$12="","",'Drivers'!$D$12)</x:f>
      </x:c>
      <x:c r="N201" s="42" t="str">
        <x:f>IF('Drivers'!$D$15="","",'Drivers'!$D$15)</x:f>
      </x:c>
      <x:c r="O201" s="42" t="str">
        <x:v>debt</x:v>
      </x:c>
      <x:c r="P201" s="42" t="str">
        <x:v>below_noi</x:v>
      </x:c>
      <x:c r="Q201" s="42" t="n">
        <x:v>1</x:v>
      </x:c>
      <x:c r="R201" s="51" t="str">
        <x:f>IF(V201="Closed: excluded","",IF(ISNUMBER('STR Build'!N56),'STR Build'!N56,""))</x:f>
      </x:c>
      <x:c r="S201" s="42" t="str">
        <x:v>STR Build!N56</x:v>
      </x:c>
      <x:c r="T201" s="42" t="str">
        <x:v>Formula</x:v>
      </x:c>
      <x:c r="U201" s="67" t="str">
        <x:f>IF(ISNUMBER(R201),IF(R201=0,"Populated zero","Populated"),"Missing")</x:f>
        <x:v>Missing</x:v>
      </x:c>
      <x:c r="V201" s="67" t="str">
        <x:f>IF(AND(ISNUMBER('Drivers'!$D$12),E201&lt;='Drivers'!$D$12),"Closed: excluded","Open forecast")</x:f>
        <x:v>Open forecast</x:v>
      </x:c>
    </x:row>
    <x:row r="202" ht="22" customHeight="1">
      <x:c r="A202" s="42"/>
      <x:c r="B202" s="42"/>
      <x:c r="C202" s="42" t="str">
        <x:f>IF('Drivers'!$D$5="","",'Drivers'!$D$5)</x:f>
      </x:c>
      <x:c r="D202" s="42" t="str">
        <x:f>IF('Drivers'!$D$4="","",'Drivers'!$D$4)</x:f>
      </x:c>
      <x:c r="E202" s="69" t="n">
        <x:f>'STR Build'!N$6</x:f>
        <x:v>46631</x:v>
      </x:c>
      <x:c r="F202" s="42" t="str">
        <x:f>IF('Drivers'!$D$10="","",'Drivers'!$D$10)</x:f>
        <x:v>Working Draft</x:v>
      </x:c>
      <x:c r="G202" s="42" t="str">
        <x:f>IF('GL Mapping'!I26="",'GL Mapping'!C26,'GL Mapping'!I26)</x:f>
        <x:v>720200</x:v>
      </x:c>
      <x:c r="H202" s="42" t="str">
        <x:v>Debt principal</x:v>
      </x:c>
      <x:c r="I202" s="42" t="str">
        <x:f>IF('Drivers'!$D$11="","",'Drivers'!$D$11)</x:f>
        <x:v>Short-Term Rentals</x:v>
      </x:c>
      <x:c r="J202" s="42" t="str">
        <x:f>IF('Drivers'!$D$8="","",'Drivers'!$D$8)</x:f>
        <x:v>USD</x:v>
      </x:c>
      <x:c r="K202" s="42" t="str">
        <x:f>IF('Drivers'!$D$21="","",'Drivers'!$D$21)</x:f>
        <x:v>Calendar</x:v>
      </x:c>
      <x:c r="L202" s="42" t="str">
        <x:f>IF('Drivers'!$D$9="","",'Drivers'!$D$9)</x:f>
        <x:v>Accrual</x:v>
      </x:c>
      <x:c r="M202" s="70" t="str">
        <x:f>IF('Drivers'!$D$12="","",'Drivers'!$D$12)</x:f>
      </x:c>
      <x:c r="N202" s="42" t="str">
        <x:f>IF('Drivers'!$D$15="","",'Drivers'!$D$15)</x:f>
      </x:c>
      <x:c r="O202" s="42" t="str">
        <x:v>debt</x:v>
      </x:c>
      <x:c r="P202" s="42" t="str">
        <x:v>below_noi</x:v>
      </x:c>
      <x:c r="Q202" s="42" t="n">
        <x:v>1</x:v>
      </x:c>
      <x:c r="R202" s="51" t="str">
        <x:f>IF(V202="Closed: excluded","",IF(ISNUMBER('STR Build'!N57),'STR Build'!N57,""))</x:f>
      </x:c>
      <x:c r="S202" s="42" t="str">
        <x:v>STR Build!N57</x:v>
      </x:c>
      <x:c r="T202" s="42" t="str">
        <x:v>Formula</x:v>
      </x:c>
      <x:c r="U202" s="67" t="str">
        <x:f>IF(ISNUMBER(R202),IF(R202=0,"Populated zero","Populated"),"Missing")</x:f>
        <x:v>Missing</x:v>
      </x:c>
      <x:c r="V202" s="67" t="str">
        <x:f>IF(AND(ISNUMBER('Drivers'!$D$12),E202&lt;='Drivers'!$D$12),"Closed: excluded","Open forecast")</x:f>
        <x:v>Open forecast</x:v>
      </x:c>
    </x:row>
    <x:row r="203" ht="22" customHeight="1">
      <x:c r="A203" s="42"/>
      <x:c r="B203" s="42"/>
      <x:c r="C203" s="42" t="str">
        <x:f>IF('Drivers'!$D$5="","",'Drivers'!$D$5)</x:f>
      </x:c>
      <x:c r="D203" s="42" t="str">
        <x:f>IF('Drivers'!$D$4="","",'Drivers'!$D$4)</x:f>
      </x:c>
      <x:c r="E203" s="69" t="n">
        <x:f>'STR Build'!N$6</x:f>
        <x:v>46631</x:v>
      </x:c>
      <x:c r="F203" s="42" t="str">
        <x:f>IF('Drivers'!$D$10="","",'Drivers'!$D$10)</x:f>
        <x:v>Working Draft</x:v>
      </x:c>
      <x:c r="G203" s="42" t="str">
        <x:f>IF('GL Mapping'!I27="",'GL Mapping'!C27,'GL Mapping'!I27)</x:f>
        <x:v>730100</x:v>
      </x:c>
      <x:c r="H203" s="42" t="str">
        <x:v>Capital expenditure</x:v>
      </x:c>
      <x:c r="I203" s="42" t="str">
        <x:f>IF('Drivers'!$D$11="","",'Drivers'!$D$11)</x:f>
        <x:v>Short-Term Rentals</x:v>
      </x:c>
      <x:c r="J203" s="42" t="str">
        <x:f>IF('Drivers'!$D$8="","",'Drivers'!$D$8)</x:f>
        <x:v>USD</x:v>
      </x:c>
      <x:c r="K203" s="42" t="str">
        <x:f>IF('Drivers'!$D$21="","",'Drivers'!$D$21)</x:f>
        <x:v>Calendar</x:v>
      </x:c>
      <x:c r="L203" s="42" t="str">
        <x:f>IF('Drivers'!$D$9="","",'Drivers'!$D$9)</x:f>
        <x:v>Accrual</x:v>
      </x:c>
      <x:c r="M203" s="70" t="str">
        <x:f>IF('Drivers'!$D$12="","",'Drivers'!$D$12)</x:f>
      </x:c>
      <x:c r="N203" s="42" t="str">
        <x:f>IF('Drivers'!$D$15="","",'Drivers'!$D$15)</x:f>
      </x:c>
      <x:c r="O203" s="42" t="str">
        <x:v>capital</x:v>
      </x:c>
      <x:c r="P203" s="42" t="str">
        <x:v>below_noi</x:v>
      </x:c>
      <x:c r="Q203" s="42" t="n">
        <x:v>1</x:v>
      </x:c>
      <x:c r="R203" s="51" t="str">
        <x:f>IF(V203="Closed: excluded","",IF(ISNUMBER('STR Build'!N58),'STR Build'!N58,""))</x:f>
      </x:c>
      <x:c r="S203" s="42" t="str">
        <x:v>STR Build!N58</x:v>
      </x:c>
      <x:c r="T203" s="42" t="str">
        <x:v>Formula</x:v>
      </x:c>
      <x:c r="U203" s="67" t="str">
        <x:f>IF(ISNUMBER(R203),IF(R203=0,"Populated zero","Populated"),"Missing")</x:f>
        <x:v>Missing</x:v>
      </x:c>
      <x:c r="V203" s="67" t="str">
        <x:f>IF(AND(ISNUMBER('Drivers'!$D$12),E203&lt;='Drivers'!$D$12),"Closed: excluded","Open forecast")</x:f>
        <x:v>Open forecast</x:v>
      </x:c>
    </x:row>
    <x:row r="204" ht="22" customHeight="1">
      <x:c r="A204" s="42"/>
      <x:c r="B204" s="42"/>
      <x:c r="C204" s="42" t="str">
        <x:f>IF('Drivers'!$D$5="","",'Drivers'!$D$5)</x:f>
      </x:c>
      <x:c r="D204" s="42" t="str">
        <x:f>IF('Drivers'!$D$4="","",'Drivers'!$D$4)</x:f>
      </x:c>
      <x:c r="E204" s="69" t="n">
        <x:f>'STR Build'!N$6</x:f>
        <x:v>46631</x:v>
      </x:c>
      <x:c r="F204" s="42" t="str">
        <x:f>IF('Drivers'!$D$10="","",'Drivers'!$D$10)</x:f>
        <x:v>Working Draft</x:v>
      </x:c>
      <x:c r="G204" s="42" t="str">
        <x:f>IF('GL Mapping'!I28="",'GL Mapping'!C28,'GL Mapping'!I28)</x:f>
        <x:v>740100</x:v>
      </x:c>
      <x:c r="H204" s="42" t="str">
        <x:v>Working-capital cash use</x:v>
      </x:c>
      <x:c r="I204" s="42" t="str">
        <x:f>IF('Drivers'!$D$11="","",'Drivers'!$D$11)</x:f>
        <x:v>Short-Term Rentals</x:v>
      </x:c>
      <x:c r="J204" s="42" t="str">
        <x:f>IF('Drivers'!$D$8="","",'Drivers'!$D$8)</x:f>
        <x:v>USD</x:v>
      </x:c>
      <x:c r="K204" s="42" t="str">
        <x:f>IF('Drivers'!$D$21="","",'Drivers'!$D$21)</x:f>
        <x:v>Calendar</x:v>
      </x:c>
      <x:c r="L204" s="42" t="str">
        <x:f>IF('Drivers'!$D$9="","",'Drivers'!$D$9)</x:f>
        <x:v>Accrual</x:v>
      </x:c>
      <x:c r="M204" s="70" t="str">
        <x:f>IF('Drivers'!$D$12="","",'Drivers'!$D$12)</x:f>
      </x:c>
      <x:c r="N204" s="42" t="str">
        <x:f>IF('Drivers'!$D$15="","",'Drivers'!$D$15)</x:f>
      </x:c>
      <x:c r="O204" s="42" t="str">
        <x:v>below_noi</x:v>
      </x:c>
      <x:c r="P204" s="42" t="str">
        <x:v>below_noi</x:v>
      </x:c>
      <x:c r="Q204" s="42" t="n">
        <x:v>1</x:v>
      </x:c>
      <x:c r="R204" s="51" t="str">
        <x:f>IF(V204="Closed: excluded","",IF(ISNUMBER('STR Build'!N59),'STR Build'!N59,""))</x:f>
      </x:c>
      <x:c r="S204" s="42" t="str">
        <x:v>STR Build!N59</x:v>
      </x:c>
      <x:c r="T204" s="42" t="str">
        <x:v>Formula</x:v>
      </x:c>
      <x:c r="U204" s="67" t="str">
        <x:f>IF(ISNUMBER(R204),IF(R204=0,"Populated zero","Populated"),"Missing")</x:f>
        <x:v>Missing</x:v>
      </x:c>
      <x:c r="V204" s="67" t="str">
        <x:f>IF(AND(ISNUMBER('Drivers'!$D$12),E204&lt;='Drivers'!$D$12),"Closed: excluded","Open forecast")</x:f>
        <x:v>Open forecast</x:v>
      </x:c>
    </x:row>
    <x:row r="205" ht="22" customHeight="1">
      <x:c r="A205" s="42"/>
      <x:c r="B205" s="42"/>
      <x:c r="C205" s="42" t="str">
        <x:f>IF('Drivers'!$D$5="","",'Drivers'!$D$5)</x:f>
      </x:c>
      <x:c r="D205" s="42" t="str">
        <x:f>IF('Drivers'!$D$4="","",'Drivers'!$D$4)</x:f>
      </x:c>
      <x:c r="E205" s="69" t="n">
        <x:f>'STR Build'!O$6</x:f>
        <x:v>46661</x:v>
      </x:c>
      <x:c r="F205" s="42" t="str">
        <x:f>IF('Drivers'!$D$10="","",'Drivers'!$D$10)</x:f>
        <x:v>Working Draft</x:v>
      </x:c>
      <x:c r="G205" s="42" t="str">
        <x:f>IF('GL Mapping'!I7="",'GL Mapping'!C7,'GL Mapping'!I7)</x:f>
        <x:v>410100</x:v>
      </x:c>
      <x:c r="H205" s="42" t="str">
        <x:v>Lodging revenue</x:v>
      </x:c>
      <x:c r="I205" s="42" t="str">
        <x:f>IF('Drivers'!$D$11="","",'Drivers'!$D$11)</x:f>
        <x:v>Short-Term Rentals</x:v>
      </x:c>
      <x:c r="J205" s="42" t="str">
        <x:f>IF('Drivers'!$D$8="","",'Drivers'!$D$8)</x:f>
        <x:v>USD</x:v>
      </x:c>
      <x:c r="K205" s="42" t="str">
        <x:f>IF('Drivers'!$D$21="","",'Drivers'!$D$21)</x:f>
        <x:v>Calendar</x:v>
      </x:c>
      <x:c r="L205" s="42" t="str">
        <x:f>IF('Drivers'!$D$9="","",'Drivers'!$D$9)</x:f>
        <x:v>Accrual</x:v>
      </x:c>
      <x:c r="M205" s="70" t="str">
        <x:f>IF('Drivers'!$D$12="","",'Drivers'!$D$12)</x:f>
      </x:c>
      <x:c r="N205" s="42" t="str">
        <x:f>IF('Drivers'!$D$15="","",'Drivers'!$D$15)</x:f>
      </x:c>
      <x:c r="O205" s="42" t="str">
        <x:v>income</x:v>
      </x:c>
      <x:c r="P205" s="42" t="str">
        <x:v>above_noi</x:v>
      </x:c>
      <x:c r="Q205" s="42" t="n">
        <x:v>1</x:v>
      </x:c>
      <x:c r="R205" s="51" t="str">
        <x:f>IF(V205="Closed: excluded","",IF(ISNUMBER('STR Build'!O28),'STR Build'!O28,""))</x:f>
      </x:c>
      <x:c r="S205" s="42" t="str">
        <x:v>STR Build!O28</x:v>
      </x:c>
      <x:c r="T205" s="42" t="str">
        <x:v>Formula</x:v>
      </x:c>
      <x:c r="U205" s="67" t="str">
        <x:f>IF(ISNUMBER(R205),IF(R205=0,"Populated zero","Populated"),"Missing")</x:f>
        <x:v>Missing</x:v>
      </x:c>
      <x:c r="V205" s="67" t="str">
        <x:f>IF(AND(ISNUMBER('Drivers'!$D$12),E205&lt;='Drivers'!$D$12),"Closed: excluded","Open forecast")</x:f>
        <x:v>Open forecast</x:v>
      </x:c>
    </x:row>
    <x:row r="206" ht="22" customHeight="1">
      <x:c r="A206" s="42"/>
      <x:c r="B206" s="42"/>
      <x:c r="C206" s="42" t="str">
        <x:f>IF('Drivers'!$D$5="","",'Drivers'!$D$5)</x:f>
      </x:c>
      <x:c r="D206" s="42" t="str">
        <x:f>IF('Drivers'!$D$4="","",'Drivers'!$D$4)</x:f>
      </x:c>
      <x:c r="E206" s="69" t="n">
        <x:f>'STR Build'!O$6</x:f>
        <x:v>46661</x:v>
      </x:c>
      <x:c r="F206" s="42" t="str">
        <x:f>IF('Drivers'!$D$10="","",'Drivers'!$D$10)</x:f>
        <x:v>Working Draft</x:v>
      </x:c>
      <x:c r="G206" s="42" t="str">
        <x:f>IF('GL Mapping'!I8="",'GL Mapping'!C8,'GL Mapping'!I8)</x:f>
        <x:v>410200</x:v>
      </x:c>
      <x:c r="H206" s="42" t="str">
        <x:v>Cleaning fee income</x:v>
      </x:c>
      <x:c r="I206" s="42" t="str">
        <x:f>IF('Drivers'!$D$11="","",'Drivers'!$D$11)</x:f>
        <x:v>Short-Term Rentals</x:v>
      </x:c>
      <x:c r="J206" s="42" t="str">
        <x:f>IF('Drivers'!$D$8="","",'Drivers'!$D$8)</x:f>
        <x:v>USD</x:v>
      </x:c>
      <x:c r="K206" s="42" t="str">
        <x:f>IF('Drivers'!$D$21="","",'Drivers'!$D$21)</x:f>
        <x:v>Calendar</x:v>
      </x:c>
      <x:c r="L206" s="42" t="str">
        <x:f>IF('Drivers'!$D$9="","",'Drivers'!$D$9)</x:f>
        <x:v>Accrual</x:v>
      </x:c>
      <x:c r="M206" s="70" t="str">
        <x:f>IF('Drivers'!$D$12="","",'Drivers'!$D$12)</x:f>
      </x:c>
      <x:c r="N206" s="42" t="str">
        <x:f>IF('Drivers'!$D$15="","",'Drivers'!$D$15)</x:f>
      </x:c>
      <x:c r="O206" s="42" t="str">
        <x:v>income</x:v>
      </x:c>
      <x:c r="P206" s="42" t="str">
        <x:v>above_noi</x:v>
      </x:c>
      <x:c r="Q206" s="42" t="n">
        <x:v>1</x:v>
      </x:c>
      <x:c r="R206" s="51" t="str">
        <x:f>IF(V206="Closed: excluded","",IF(ISNUMBER('STR Build'!O29),'STR Build'!O29,""))</x:f>
      </x:c>
      <x:c r="S206" s="42" t="str">
        <x:v>STR Build!O29</x:v>
      </x:c>
      <x:c r="T206" s="42" t="str">
        <x:v>Formula</x:v>
      </x:c>
      <x:c r="U206" s="67" t="str">
        <x:f>IF(ISNUMBER(R206),IF(R206=0,"Populated zero","Populated"),"Missing")</x:f>
        <x:v>Missing</x:v>
      </x:c>
      <x:c r="V206" s="67" t="str">
        <x:f>IF(AND(ISNUMBER('Drivers'!$D$12),E206&lt;='Drivers'!$D$12),"Closed: excluded","Open forecast")</x:f>
        <x:v>Open forecast</x:v>
      </x:c>
    </x:row>
    <x:row r="207" ht="22" customHeight="1">
      <x:c r="A207" s="42"/>
      <x:c r="B207" s="42"/>
      <x:c r="C207" s="42" t="str">
        <x:f>IF('Drivers'!$D$5="","",'Drivers'!$D$5)</x:f>
      </x:c>
      <x:c r="D207" s="42" t="str">
        <x:f>IF('Drivers'!$D$4="","",'Drivers'!$D$4)</x:f>
      </x:c>
      <x:c r="E207" s="69" t="n">
        <x:f>'STR Build'!O$6</x:f>
        <x:v>46661</x:v>
      </x:c>
      <x:c r="F207" s="42" t="str">
        <x:f>IF('Drivers'!$D$10="","",'Drivers'!$D$10)</x:f>
        <x:v>Working Draft</x:v>
      </x:c>
      <x:c r="G207" s="42" t="str">
        <x:f>IF('GL Mapping'!I9="",'GL Mapping'!C9,'GL Mapping'!I9)</x:f>
        <x:v>410300</x:v>
      </x:c>
      <x:c r="H207" s="42" t="str">
        <x:v>Other guest fee income</x:v>
      </x:c>
      <x:c r="I207" s="42" t="str">
        <x:f>IF('Drivers'!$D$11="","",'Drivers'!$D$11)</x:f>
        <x:v>Short-Term Rentals</x:v>
      </x:c>
      <x:c r="J207" s="42" t="str">
        <x:f>IF('Drivers'!$D$8="","",'Drivers'!$D$8)</x:f>
        <x:v>USD</x:v>
      </x:c>
      <x:c r="K207" s="42" t="str">
        <x:f>IF('Drivers'!$D$21="","",'Drivers'!$D$21)</x:f>
        <x:v>Calendar</x:v>
      </x:c>
      <x:c r="L207" s="42" t="str">
        <x:f>IF('Drivers'!$D$9="","",'Drivers'!$D$9)</x:f>
        <x:v>Accrual</x:v>
      </x:c>
      <x:c r="M207" s="70" t="str">
        <x:f>IF('Drivers'!$D$12="","",'Drivers'!$D$12)</x:f>
      </x:c>
      <x:c r="N207" s="42" t="str">
        <x:f>IF('Drivers'!$D$15="","",'Drivers'!$D$15)</x:f>
      </x:c>
      <x:c r="O207" s="42" t="str">
        <x:v>income</x:v>
      </x:c>
      <x:c r="P207" s="42" t="str">
        <x:v>above_noi</x:v>
      </x:c>
      <x:c r="Q207" s="42" t="n">
        <x:v>1</x:v>
      </x:c>
      <x:c r="R207" s="51" t="str">
        <x:f>IF(V207="Closed: excluded","",IF(ISNUMBER('STR Build'!O30),'STR Build'!O30,""))</x:f>
      </x:c>
      <x:c r="S207" s="42" t="str">
        <x:v>STR Build!O30</x:v>
      </x:c>
      <x:c r="T207" s="42" t="str">
        <x:v>Formula</x:v>
      </x:c>
      <x:c r="U207" s="67" t="str">
        <x:f>IF(ISNUMBER(R207),IF(R207=0,"Populated zero","Populated"),"Missing")</x:f>
        <x:v>Missing</x:v>
      </x:c>
      <x:c r="V207" s="67" t="str">
        <x:f>IF(AND(ISNUMBER('Drivers'!$D$12),E207&lt;='Drivers'!$D$12),"Closed: excluded","Open forecast")</x:f>
        <x:v>Open forecast</x:v>
      </x:c>
    </x:row>
    <x:row r="208" ht="22" customHeight="1">
      <x:c r="A208" s="42"/>
      <x:c r="B208" s="42"/>
      <x:c r="C208" s="42" t="str">
        <x:f>IF('Drivers'!$D$5="","",'Drivers'!$D$5)</x:f>
      </x:c>
      <x:c r="D208" s="42" t="str">
        <x:f>IF('Drivers'!$D$4="","",'Drivers'!$D$4)</x:f>
      </x:c>
      <x:c r="E208" s="69" t="n">
        <x:f>'STR Build'!O$6</x:f>
        <x:v>46661</x:v>
      </x:c>
      <x:c r="F208" s="42" t="str">
        <x:f>IF('Drivers'!$D$10="","",'Drivers'!$D$10)</x:f>
        <x:v>Working Draft</x:v>
      </x:c>
      <x:c r="G208" s="42" t="str">
        <x:f>IF('GL Mapping'!I10="",'GL Mapping'!C10,'GL Mapping'!I10)</x:f>
        <x:v>419100</x:v>
      </x:c>
      <x:c r="H208" s="42" t="str">
        <x:v>Refunds and discounts</x:v>
      </x:c>
      <x:c r="I208" s="42" t="str">
        <x:f>IF('Drivers'!$D$11="","",'Drivers'!$D$11)</x:f>
        <x:v>Short-Term Rentals</x:v>
      </x:c>
      <x:c r="J208" s="42" t="str">
        <x:f>IF('Drivers'!$D$8="","",'Drivers'!$D$8)</x:f>
        <x:v>USD</x:v>
      </x:c>
      <x:c r="K208" s="42" t="str">
        <x:f>IF('Drivers'!$D$21="","",'Drivers'!$D$21)</x:f>
        <x:v>Calendar</x:v>
      </x:c>
      <x:c r="L208" s="42" t="str">
        <x:f>IF('Drivers'!$D$9="","",'Drivers'!$D$9)</x:f>
        <x:v>Accrual</x:v>
      </x:c>
      <x:c r="M208" s="70" t="str">
        <x:f>IF('Drivers'!$D$12="","",'Drivers'!$D$12)</x:f>
      </x:c>
      <x:c r="N208" s="42" t="str">
        <x:f>IF('Drivers'!$D$15="","",'Drivers'!$D$15)</x:f>
      </x:c>
      <x:c r="O208" s="42" t="str">
        <x:v>contra_income</x:v>
      </x:c>
      <x:c r="P208" s="42" t="str">
        <x:v>above_noi</x:v>
      </x:c>
      <x:c r="Q208" s="42" t="n">
        <x:v>1</x:v>
      </x:c>
      <x:c r="R208" s="51" t="str">
        <x:f>IF(V208="Closed: excluded","",IF(ISNUMBER('STR Build'!O32),'STR Build'!O32,""))</x:f>
      </x:c>
      <x:c r="S208" s="42" t="str">
        <x:v>STR Build!O32</x:v>
      </x:c>
      <x:c r="T208" s="42" t="str">
        <x:v>Formula</x:v>
      </x:c>
      <x:c r="U208" s="67" t="str">
        <x:f>IF(ISNUMBER(R208),IF(R208=0,"Populated zero","Populated"),"Missing")</x:f>
        <x:v>Missing</x:v>
      </x:c>
      <x:c r="V208" s="67" t="str">
        <x:f>IF(AND(ISNUMBER('Drivers'!$D$12),E208&lt;='Drivers'!$D$12),"Closed: excluded","Open forecast")</x:f>
        <x:v>Open forecast</x:v>
      </x:c>
    </x:row>
    <x:row r="209" ht="22" customHeight="1">
      <x:c r="A209" s="42"/>
      <x:c r="B209" s="42"/>
      <x:c r="C209" s="42" t="str">
        <x:f>IF('Drivers'!$D$5="","",'Drivers'!$D$5)</x:f>
      </x:c>
      <x:c r="D209" s="42" t="str">
        <x:f>IF('Drivers'!$D$4="","",'Drivers'!$D$4)</x:f>
      </x:c>
      <x:c r="E209" s="69" t="n">
        <x:f>'STR Build'!O$6</x:f>
        <x:v>46661</x:v>
      </x:c>
      <x:c r="F209" s="42" t="str">
        <x:f>IF('Drivers'!$D$10="","",'Drivers'!$D$10)</x:f>
        <x:v>Working Draft</x:v>
      </x:c>
      <x:c r="G209" s="42" t="str">
        <x:f>IF('GL Mapping'!I11="",'GL Mapping'!C11,'GL Mapping'!I11)</x:f>
        <x:v>419200</x:v>
      </x:c>
      <x:c r="H209" s="42" t="str">
        <x:v>Bad debt</x:v>
      </x:c>
      <x:c r="I209" s="42" t="str">
        <x:f>IF('Drivers'!$D$11="","",'Drivers'!$D$11)</x:f>
        <x:v>Short-Term Rentals</x:v>
      </x:c>
      <x:c r="J209" s="42" t="str">
        <x:f>IF('Drivers'!$D$8="","",'Drivers'!$D$8)</x:f>
        <x:v>USD</x:v>
      </x:c>
      <x:c r="K209" s="42" t="str">
        <x:f>IF('Drivers'!$D$21="","",'Drivers'!$D$21)</x:f>
        <x:v>Calendar</x:v>
      </x:c>
      <x:c r="L209" s="42" t="str">
        <x:f>IF('Drivers'!$D$9="","",'Drivers'!$D$9)</x:f>
        <x:v>Accrual</x:v>
      </x:c>
      <x:c r="M209" s="70" t="str">
        <x:f>IF('Drivers'!$D$12="","",'Drivers'!$D$12)</x:f>
      </x:c>
      <x:c r="N209" s="42" t="str">
        <x:f>IF('Drivers'!$D$15="","",'Drivers'!$D$15)</x:f>
      </x:c>
      <x:c r="O209" s="42" t="str">
        <x:v>contra_income</x:v>
      </x:c>
      <x:c r="P209" s="42" t="str">
        <x:v>above_noi</x:v>
      </x:c>
      <x:c r="Q209" s="42" t="n">
        <x:v>1</x:v>
      </x:c>
      <x:c r="R209" s="51" t="str">
        <x:f>IF(V209="Closed: excluded","",IF(ISNUMBER('STR Build'!O33),'STR Build'!O33,""))</x:f>
      </x:c>
      <x:c r="S209" s="42" t="str">
        <x:v>STR Build!O33</x:v>
      </x:c>
      <x:c r="T209" s="42" t="str">
        <x:v>Formula</x:v>
      </x:c>
      <x:c r="U209" s="67" t="str">
        <x:f>IF(ISNUMBER(R209),IF(R209=0,"Populated zero","Populated"),"Missing")</x:f>
        <x:v>Missing</x:v>
      </x:c>
      <x:c r="V209" s="67" t="str">
        <x:f>IF(AND(ISNUMBER('Drivers'!$D$12),E209&lt;='Drivers'!$D$12),"Closed: excluded","Open forecast")</x:f>
        <x:v>Open forecast</x:v>
      </x:c>
    </x:row>
    <x:row r="210" ht="22" customHeight="1">
      <x:c r="A210" s="42"/>
      <x:c r="B210" s="42"/>
      <x:c r="C210" s="42" t="str">
        <x:f>IF('Drivers'!$D$5="","",'Drivers'!$D$5)</x:f>
      </x:c>
      <x:c r="D210" s="42" t="str">
        <x:f>IF('Drivers'!$D$4="","",'Drivers'!$D$4)</x:f>
      </x:c>
      <x:c r="E210" s="69" t="n">
        <x:f>'STR Build'!O$6</x:f>
        <x:v>46661</x:v>
      </x:c>
      <x:c r="F210" s="42" t="str">
        <x:f>IF('Drivers'!$D$10="","",'Drivers'!$D$10)</x:f>
        <x:v>Working Draft</x:v>
      </x:c>
      <x:c r="G210" s="42" t="str">
        <x:f>IF('GL Mapping'!I12="",'GL Mapping'!C12,'GL Mapping'!I12)</x:f>
        <x:v>610100</x:v>
      </x:c>
      <x:c r="H210" s="42" t="str">
        <x:v>Channel commissions</x:v>
      </x:c>
      <x:c r="I210" s="42" t="str">
        <x:f>IF('Drivers'!$D$11="","",'Drivers'!$D$11)</x:f>
        <x:v>Short-Term Rentals</x:v>
      </x:c>
      <x:c r="J210" s="42" t="str">
        <x:f>IF('Drivers'!$D$8="","",'Drivers'!$D$8)</x:f>
        <x:v>USD</x:v>
      </x:c>
      <x:c r="K210" s="42" t="str">
        <x:f>IF('Drivers'!$D$21="","",'Drivers'!$D$21)</x:f>
        <x:v>Calendar</x:v>
      </x:c>
      <x:c r="L210" s="42" t="str">
        <x:f>IF('Drivers'!$D$9="","",'Drivers'!$D$9)</x:f>
        <x:v>Accrual</x:v>
      </x:c>
      <x:c r="M210" s="70" t="str">
        <x:f>IF('Drivers'!$D$12="","",'Drivers'!$D$12)</x:f>
      </x:c>
      <x:c r="N210" s="42" t="str">
        <x:f>IF('Drivers'!$D$15="","",'Drivers'!$D$15)</x:f>
      </x:c>
      <x:c r="O210" s="42" t="str">
        <x:v>expense</x:v>
      </x:c>
      <x:c r="P210" s="42" t="str">
        <x:v>above_noi</x:v>
      </x:c>
      <x:c r="Q210" s="42" t="n">
        <x:v>1</x:v>
      </x:c>
      <x:c r="R210" s="51" t="str">
        <x:f>IF(V210="Closed: excluded","",IF(ISNUMBER('STR Build'!O36),'STR Build'!O36,""))</x:f>
      </x:c>
      <x:c r="S210" s="42" t="str">
        <x:v>STR Build!O36</x:v>
      </x:c>
      <x:c r="T210" s="42" t="str">
        <x:v>Formula</x:v>
      </x:c>
      <x:c r="U210" s="67" t="str">
        <x:f>IF(ISNUMBER(R210),IF(R210=0,"Populated zero","Populated"),"Missing")</x:f>
        <x:v>Missing</x:v>
      </x:c>
      <x:c r="V210" s="67" t="str">
        <x:f>IF(AND(ISNUMBER('Drivers'!$D$12),E210&lt;='Drivers'!$D$12),"Closed: excluded","Open forecast")</x:f>
        <x:v>Open forecast</x:v>
      </x:c>
    </x:row>
    <x:row r="211" ht="22" customHeight="1">
      <x:c r="A211" s="42"/>
      <x:c r="B211" s="42"/>
      <x:c r="C211" s="42" t="str">
        <x:f>IF('Drivers'!$D$5="","",'Drivers'!$D$5)</x:f>
      </x:c>
      <x:c r="D211" s="42" t="str">
        <x:f>IF('Drivers'!$D$4="","",'Drivers'!$D$4)</x:f>
      </x:c>
      <x:c r="E211" s="69" t="n">
        <x:f>'STR Build'!O$6</x:f>
        <x:v>46661</x:v>
      </x:c>
      <x:c r="F211" s="42" t="str">
        <x:f>IF('Drivers'!$D$10="","",'Drivers'!$D$10)</x:f>
        <x:v>Working Draft</x:v>
      </x:c>
      <x:c r="G211" s="42" t="str">
        <x:f>IF('GL Mapping'!I13="",'GL Mapping'!C13,'GL Mapping'!I13)</x:f>
        <x:v>610200</x:v>
      </x:c>
      <x:c r="H211" s="42" t="str">
        <x:v>Cleaning expense</x:v>
      </x:c>
      <x:c r="I211" s="42" t="str">
        <x:f>IF('Drivers'!$D$11="","",'Drivers'!$D$11)</x:f>
        <x:v>Short-Term Rentals</x:v>
      </x:c>
      <x:c r="J211" s="42" t="str">
        <x:f>IF('Drivers'!$D$8="","",'Drivers'!$D$8)</x:f>
        <x:v>USD</x:v>
      </x:c>
      <x:c r="K211" s="42" t="str">
        <x:f>IF('Drivers'!$D$21="","",'Drivers'!$D$21)</x:f>
        <x:v>Calendar</x:v>
      </x:c>
      <x:c r="L211" s="42" t="str">
        <x:f>IF('Drivers'!$D$9="","",'Drivers'!$D$9)</x:f>
        <x:v>Accrual</x:v>
      </x:c>
      <x:c r="M211" s="70" t="str">
        <x:f>IF('Drivers'!$D$12="","",'Drivers'!$D$12)</x:f>
      </x:c>
      <x:c r="N211" s="42" t="str">
        <x:f>IF('Drivers'!$D$15="","",'Drivers'!$D$15)</x:f>
      </x:c>
      <x:c r="O211" s="42" t="str">
        <x:v>expense</x:v>
      </x:c>
      <x:c r="P211" s="42" t="str">
        <x:v>above_noi</x:v>
      </x:c>
      <x:c r="Q211" s="42" t="n">
        <x:v>1</x:v>
      </x:c>
      <x:c r="R211" s="51" t="str">
        <x:f>IF(V211="Closed: excluded","",IF(ISNUMBER('STR Build'!O37),'STR Build'!O37,""))</x:f>
      </x:c>
      <x:c r="S211" s="42" t="str">
        <x:v>STR Build!O37</x:v>
      </x:c>
      <x:c r="T211" s="42" t="str">
        <x:v>Formula</x:v>
      </x:c>
      <x:c r="U211" s="67" t="str">
        <x:f>IF(ISNUMBER(R211),IF(R211=0,"Populated zero","Populated"),"Missing")</x:f>
        <x:v>Missing</x:v>
      </x:c>
      <x:c r="V211" s="67" t="str">
        <x:f>IF(AND(ISNUMBER('Drivers'!$D$12),E211&lt;='Drivers'!$D$12),"Closed: excluded","Open forecast")</x:f>
        <x:v>Open forecast</x:v>
      </x:c>
    </x:row>
    <x:row r="212" ht="22" customHeight="1">
      <x:c r="A212" s="42"/>
      <x:c r="B212" s="42"/>
      <x:c r="C212" s="42" t="str">
        <x:f>IF('Drivers'!$D$5="","",'Drivers'!$D$5)</x:f>
      </x:c>
      <x:c r="D212" s="42" t="str">
        <x:f>IF('Drivers'!$D$4="","",'Drivers'!$D$4)</x:f>
      </x:c>
      <x:c r="E212" s="69" t="n">
        <x:f>'STR Build'!O$6</x:f>
        <x:v>46661</x:v>
      </x:c>
      <x:c r="F212" s="42" t="str">
        <x:f>IF('Drivers'!$D$10="","",'Drivers'!$D$10)</x:f>
        <x:v>Working Draft</x:v>
      </x:c>
      <x:c r="G212" s="42" t="str">
        <x:f>IF('GL Mapping'!I14="",'GL Mapping'!C14,'GL Mapping'!I14)</x:f>
        <x:v>610300</x:v>
      </x:c>
      <x:c r="H212" s="42" t="str">
        <x:v>Property-borne lodging tax</x:v>
      </x:c>
      <x:c r="I212" s="42" t="str">
        <x:f>IF('Drivers'!$D$11="","",'Drivers'!$D$11)</x:f>
        <x:v>Short-Term Rentals</x:v>
      </x:c>
      <x:c r="J212" s="42" t="str">
        <x:f>IF('Drivers'!$D$8="","",'Drivers'!$D$8)</x:f>
        <x:v>USD</x:v>
      </x:c>
      <x:c r="K212" s="42" t="str">
        <x:f>IF('Drivers'!$D$21="","",'Drivers'!$D$21)</x:f>
        <x:v>Calendar</x:v>
      </x:c>
      <x:c r="L212" s="42" t="str">
        <x:f>IF('Drivers'!$D$9="","",'Drivers'!$D$9)</x:f>
        <x:v>Accrual</x:v>
      </x:c>
      <x:c r="M212" s="70" t="str">
        <x:f>IF('Drivers'!$D$12="","",'Drivers'!$D$12)</x:f>
      </x:c>
      <x:c r="N212" s="42" t="str">
        <x:f>IF('Drivers'!$D$15="","",'Drivers'!$D$15)</x:f>
      </x:c>
      <x:c r="O212" s="42" t="str">
        <x:v>expense</x:v>
      </x:c>
      <x:c r="P212" s="42" t="str">
        <x:v>above_noi</x:v>
      </x:c>
      <x:c r="Q212" s="42" t="n">
        <x:v>1</x:v>
      </x:c>
      <x:c r="R212" s="51" t="str">
        <x:f>IF(V212="Closed: excluded","",IF(ISNUMBER('STR Build'!O38),'STR Build'!O38,""))</x:f>
      </x:c>
      <x:c r="S212" s="42" t="str">
        <x:v>STR Build!O38</x:v>
      </x:c>
      <x:c r="T212" s="42" t="str">
        <x:v>Formula</x:v>
      </x:c>
      <x:c r="U212" s="67" t="str">
        <x:f>IF(ISNUMBER(R212),IF(R212=0,"Populated zero","Populated"),"Missing")</x:f>
        <x:v>Missing</x:v>
      </x:c>
      <x:c r="V212" s="67" t="str">
        <x:f>IF(AND(ISNUMBER('Drivers'!$D$12),E212&lt;='Drivers'!$D$12),"Closed: excluded","Open forecast")</x:f>
        <x:v>Open forecast</x:v>
      </x:c>
    </x:row>
    <x:row r="213" ht="22" customHeight="1">
      <x:c r="A213" s="42"/>
      <x:c r="B213" s="42"/>
      <x:c r="C213" s="42" t="str">
        <x:f>IF('Drivers'!$D$5="","",'Drivers'!$D$5)</x:f>
      </x:c>
      <x:c r="D213" s="42" t="str">
        <x:f>IF('Drivers'!$D$4="","",'Drivers'!$D$4)</x:f>
      </x:c>
      <x:c r="E213" s="69" t="n">
        <x:f>'STR Build'!O$6</x:f>
        <x:v>46661</x:v>
      </x:c>
      <x:c r="F213" s="42" t="str">
        <x:f>IF('Drivers'!$D$10="","",'Drivers'!$D$10)</x:f>
        <x:v>Working Draft</x:v>
      </x:c>
      <x:c r="G213" s="42" t="str">
        <x:f>IF('GL Mapping'!I15="",'GL Mapping'!C15,'GL Mapping'!I15)</x:f>
        <x:v>610400</x:v>
      </x:c>
      <x:c r="H213" s="42" t="str">
        <x:v>Supplies</x:v>
      </x:c>
      <x:c r="I213" s="42" t="str">
        <x:f>IF('Drivers'!$D$11="","",'Drivers'!$D$11)</x:f>
        <x:v>Short-Term Rentals</x:v>
      </x:c>
      <x:c r="J213" s="42" t="str">
        <x:f>IF('Drivers'!$D$8="","",'Drivers'!$D$8)</x:f>
        <x:v>USD</x:v>
      </x:c>
      <x:c r="K213" s="42" t="str">
        <x:f>IF('Drivers'!$D$21="","",'Drivers'!$D$21)</x:f>
        <x:v>Calendar</x:v>
      </x:c>
      <x:c r="L213" s="42" t="str">
        <x:f>IF('Drivers'!$D$9="","",'Drivers'!$D$9)</x:f>
        <x:v>Accrual</x:v>
      </x:c>
      <x:c r="M213" s="70" t="str">
        <x:f>IF('Drivers'!$D$12="","",'Drivers'!$D$12)</x:f>
      </x:c>
      <x:c r="N213" s="42" t="str">
        <x:f>IF('Drivers'!$D$15="","",'Drivers'!$D$15)</x:f>
      </x:c>
      <x:c r="O213" s="42" t="str">
        <x:v>expense</x:v>
      </x:c>
      <x:c r="P213" s="42" t="str">
        <x:v>above_noi</x:v>
      </x:c>
      <x:c r="Q213" s="42" t="n">
        <x:v>1</x:v>
      </x:c>
      <x:c r="R213" s="51" t="str">
        <x:f>IF(V213="Closed: excluded","",IF(ISNUMBER('STR Build'!O39),'STR Build'!O39,""))</x:f>
      </x:c>
      <x:c r="S213" s="42" t="str">
        <x:v>STR Build!O39</x:v>
      </x:c>
      <x:c r="T213" s="42" t="str">
        <x:v>Formula</x:v>
      </x:c>
      <x:c r="U213" s="67" t="str">
        <x:f>IF(ISNUMBER(R213),IF(R213=0,"Populated zero","Populated"),"Missing")</x:f>
        <x:v>Missing</x:v>
      </x:c>
      <x:c r="V213" s="67" t="str">
        <x:f>IF(AND(ISNUMBER('Drivers'!$D$12),E213&lt;='Drivers'!$D$12),"Closed: excluded","Open forecast")</x:f>
        <x:v>Open forecast</x:v>
      </x:c>
    </x:row>
    <x:row r="214" ht="22" customHeight="1">
      <x:c r="A214" s="42"/>
      <x:c r="B214" s="42"/>
      <x:c r="C214" s="42" t="str">
        <x:f>IF('Drivers'!$D$5="","",'Drivers'!$D$5)</x:f>
      </x:c>
      <x:c r="D214" s="42" t="str">
        <x:f>IF('Drivers'!$D$4="","",'Drivers'!$D$4)</x:f>
      </x:c>
      <x:c r="E214" s="69" t="n">
        <x:f>'STR Build'!O$6</x:f>
        <x:v>46661</x:v>
      </x:c>
      <x:c r="F214" s="42" t="str">
        <x:f>IF('Drivers'!$D$10="","",'Drivers'!$D$10)</x:f>
        <x:v>Working Draft</x:v>
      </x:c>
      <x:c r="G214" s="42" t="str">
        <x:f>IF('GL Mapping'!I16="",'GL Mapping'!C16,'GL Mapping'!I16)</x:f>
        <x:v>620100</x:v>
      </x:c>
      <x:c r="H214" s="42" t="str">
        <x:v>Payroll</x:v>
      </x:c>
      <x:c r="I214" s="42" t="str">
        <x:f>IF('Drivers'!$D$11="","",'Drivers'!$D$11)</x:f>
        <x:v>Short-Term Rentals</x:v>
      </x:c>
      <x:c r="J214" s="42" t="str">
        <x:f>IF('Drivers'!$D$8="","",'Drivers'!$D$8)</x:f>
        <x:v>USD</x:v>
      </x:c>
      <x:c r="K214" s="42" t="str">
        <x:f>IF('Drivers'!$D$21="","",'Drivers'!$D$21)</x:f>
        <x:v>Calendar</x:v>
      </x:c>
      <x:c r="L214" s="42" t="str">
        <x:f>IF('Drivers'!$D$9="","",'Drivers'!$D$9)</x:f>
        <x:v>Accrual</x:v>
      </x:c>
      <x:c r="M214" s="70" t="str">
        <x:f>IF('Drivers'!$D$12="","",'Drivers'!$D$12)</x:f>
      </x:c>
      <x:c r="N214" s="42" t="str">
        <x:f>IF('Drivers'!$D$15="","",'Drivers'!$D$15)</x:f>
      </x:c>
      <x:c r="O214" s="42" t="str">
        <x:v>expense</x:v>
      </x:c>
      <x:c r="P214" s="42" t="str">
        <x:v>above_noi</x:v>
      </x:c>
      <x:c r="Q214" s="42" t="n">
        <x:v>1</x:v>
      </x:c>
      <x:c r="R214" s="51" t="str">
        <x:f>IF(V214="Closed: excluded","",IF(ISNUMBER('STR Build'!O40),'STR Build'!O40,""))</x:f>
      </x:c>
      <x:c r="S214" s="42" t="str">
        <x:v>STR Build!O40</x:v>
      </x:c>
      <x:c r="T214" s="42" t="str">
        <x:v>Formula</x:v>
      </x:c>
      <x:c r="U214" s="67" t="str">
        <x:f>IF(ISNUMBER(R214),IF(R214=0,"Populated zero","Populated"),"Missing")</x:f>
        <x:v>Missing</x:v>
      </x:c>
      <x:c r="V214" s="67" t="str">
        <x:f>IF(AND(ISNUMBER('Drivers'!$D$12),E214&lt;='Drivers'!$D$12),"Closed: excluded","Open forecast")</x:f>
        <x:v>Open forecast</x:v>
      </x:c>
    </x:row>
    <x:row r="215" ht="22" customHeight="1">
      <x:c r="A215" s="42"/>
      <x:c r="B215" s="42"/>
      <x:c r="C215" s="42" t="str">
        <x:f>IF('Drivers'!$D$5="","",'Drivers'!$D$5)</x:f>
      </x:c>
      <x:c r="D215" s="42" t="str">
        <x:f>IF('Drivers'!$D$4="","",'Drivers'!$D$4)</x:f>
      </x:c>
      <x:c r="E215" s="69" t="n">
        <x:f>'STR Build'!O$6</x:f>
        <x:v>46661</x:v>
      </x:c>
      <x:c r="F215" s="42" t="str">
        <x:f>IF('Drivers'!$D$10="","",'Drivers'!$D$10)</x:f>
        <x:v>Working Draft</x:v>
      </x:c>
      <x:c r="G215" s="42" t="str">
        <x:f>IF('GL Mapping'!I17="",'GL Mapping'!C17,'GL Mapping'!I17)</x:f>
        <x:v>630100</x:v>
      </x:c>
      <x:c r="H215" s="42" t="str">
        <x:v>Utilities</x:v>
      </x:c>
      <x:c r="I215" s="42" t="str">
        <x:f>IF('Drivers'!$D$11="","",'Drivers'!$D$11)</x:f>
        <x:v>Short-Term Rentals</x:v>
      </x:c>
      <x:c r="J215" s="42" t="str">
        <x:f>IF('Drivers'!$D$8="","",'Drivers'!$D$8)</x:f>
        <x:v>USD</x:v>
      </x:c>
      <x:c r="K215" s="42" t="str">
        <x:f>IF('Drivers'!$D$21="","",'Drivers'!$D$21)</x:f>
        <x:v>Calendar</x:v>
      </x:c>
      <x:c r="L215" s="42" t="str">
        <x:f>IF('Drivers'!$D$9="","",'Drivers'!$D$9)</x:f>
        <x:v>Accrual</x:v>
      </x:c>
      <x:c r="M215" s="70" t="str">
        <x:f>IF('Drivers'!$D$12="","",'Drivers'!$D$12)</x:f>
      </x:c>
      <x:c r="N215" s="42" t="str">
        <x:f>IF('Drivers'!$D$15="","",'Drivers'!$D$15)</x:f>
      </x:c>
      <x:c r="O215" s="42" t="str">
        <x:v>expense</x:v>
      </x:c>
      <x:c r="P215" s="42" t="str">
        <x:v>above_noi</x:v>
      </x:c>
      <x:c r="Q215" s="42" t="n">
        <x:v>1</x:v>
      </x:c>
      <x:c r="R215" s="51" t="str">
        <x:f>IF(V215="Closed: excluded","",IF(ISNUMBER('STR Build'!O41),'STR Build'!O41,""))</x:f>
      </x:c>
      <x:c r="S215" s="42" t="str">
        <x:v>STR Build!O41</x:v>
      </x:c>
      <x:c r="T215" s="42" t="str">
        <x:v>Formula</x:v>
      </x:c>
      <x:c r="U215" s="67" t="str">
        <x:f>IF(ISNUMBER(R215),IF(R215=0,"Populated zero","Populated"),"Missing")</x:f>
        <x:v>Missing</x:v>
      </x:c>
      <x:c r="V215" s="67" t="str">
        <x:f>IF(AND(ISNUMBER('Drivers'!$D$12),E215&lt;='Drivers'!$D$12),"Closed: excluded","Open forecast")</x:f>
        <x:v>Open forecast</x:v>
      </x:c>
    </x:row>
    <x:row r="216" ht="22" customHeight="1">
      <x:c r="A216" s="42"/>
      <x:c r="B216" s="42"/>
      <x:c r="C216" s="42" t="str">
        <x:f>IF('Drivers'!$D$5="","",'Drivers'!$D$5)</x:f>
      </x:c>
      <x:c r="D216" s="42" t="str">
        <x:f>IF('Drivers'!$D$4="","",'Drivers'!$D$4)</x:f>
      </x:c>
      <x:c r="E216" s="69" t="n">
        <x:f>'STR Build'!O$6</x:f>
        <x:v>46661</x:v>
      </x:c>
      <x:c r="F216" s="42" t="str">
        <x:f>IF('Drivers'!$D$10="","",'Drivers'!$D$10)</x:f>
        <x:v>Working Draft</x:v>
      </x:c>
      <x:c r="G216" s="42" t="str">
        <x:f>IF('GL Mapping'!I18="",'GL Mapping'!C18,'GL Mapping'!I18)</x:f>
        <x:v>640100</x:v>
      </x:c>
      <x:c r="H216" s="42" t="str">
        <x:v>Contracts</x:v>
      </x:c>
      <x:c r="I216" s="42" t="str">
        <x:f>IF('Drivers'!$D$11="","",'Drivers'!$D$11)</x:f>
        <x:v>Short-Term Rentals</x:v>
      </x:c>
      <x:c r="J216" s="42" t="str">
        <x:f>IF('Drivers'!$D$8="","",'Drivers'!$D$8)</x:f>
        <x:v>USD</x:v>
      </x:c>
      <x:c r="K216" s="42" t="str">
        <x:f>IF('Drivers'!$D$21="","",'Drivers'!$D$21)</x:f>
        <x:v>Calendar</x:v>
      </x:c>
      <x:c r="L216" s="42" t="str">
        <x:f>IF('Drivers'!$D$9="","",'Drivers'!$D$9)</x:f>
        <x:v>Accrual</x:v>
      </x:c>
      <x:c r="M216" s="70" t="str">
        <x:f>IF('Drivers'!$D$12="","",'Drivers'!$D$12)</x:f>
      </x:c>
      <x:c r="N216" s="42" t="str">
        <x:f>IF('Drivers'!$D$15="","",'Drivers'!$D$15)</x:f>
      </x:c>
      <x:c r="O216" s="42" t="str">
        <x:v>expense</x:v>
      </x:c>
      <x:c r="P216" s="42" t="str">
        <x:v>above_noi</x:v>
      </x:c>
      <x:c r="Q216" s="42" t="n">
        <x:v>1</x:v>
      </x:c>
      <x:c r="R216" s="51" t="str">
        <x:f>IF(V216="Closed: excluded","",IF(ISNUMBER('STR Build'!O42),'STR Build'!O42,""))</x:f>
      </x:c>
      <x:c r="S216" s="42" t="str">
        <x:v>STR Build!O42</x:v>
      </x:c>
      <x:c r="T216" s="42" t="str">
        <x:v>Formula</x:v>
      </x:c>
      <x:c r="U216" s="67" t="str">
        <x:f>IF(ISNUMBER(R216),IF(R216=0,"Populated zero","Populated"),"Missing")</x:f>
        <x:v>Missing</x:v>
      </x:c>
      <x:c r="V216" s="67" t="str">
        <x:f>IF(AND(ISNUMBER('Drivers'!$D$12),E216&lt;='Drivers'!$D$12),"Closed: excluded","Open forecast")</x:f>
        <x:v>Open forecast</x:v>
      </x:c>
    </x:row>
    <x:row r="217" ht="22" customHeight="1">
      <x:c r="A217" s="42"/>
      <x:c r="B217" s="42"/>
      <x:c r="C217" s="42" t="str">
        <x:f>IF('Drivers'!$D$5="","",'Drivers'!$D$5)</x:f>
      </x:c>
      <x:c r="D217" s="42" t="str">
        <x:f>IF('Drivers'!$D$4="","",'Drivers'!$D$4)</x:f>
      </x:c>
      <x:c r="E217" s="69" t="n">
        <x:f>'STR Build'!O$6</x:f>
        <x:v>46661</x:v>
      </x:c>
      <x:c r="F217" s="42" t="str">
        <x:f>IF('Drivers'!$D$10="","",'Drivers'!$D$10)</x:f>
        <x:v>Working Draft</x:v>
      </x:c>
      <x:c r="G217" s="42" t="str">
        <x:f>IF('GL Mapping'!I19="",'GL Mapping'!C19,'GL Mapping'!I19)</x:f>
        <x:v>650100</x:v>
      </x:c>
      <x:c r="H217" s="42" t="str">
        <x:v>Marketing</x:v>
      </x:c>
      <x:c r="I217" s="42" t="str">
        <x:f>IF('Drivers'!$D$11="","",'Drivers'!$D$11)</x:f>
        <x:v>Short-Term Rentals</x:v>
      </x:c>
      <x:c r="J217" s="42" t="str">
        <x:f>IF('Drivers'!$D$8="","",'Drivers'!$D$8)</x:f>
        <x:v>USD</x:v>
      </x:c>
      <x:c r="K217" s="42" t="str">
        <x:f>IF('Drivers'!$D$21="","",'Drivers'!$D$21)</x:f>
        <x:v>Calendar</x:v>
      </x:c>
      <x:c r="L217" s="42" t="str">
        <x:f>IF('Drivers'!$D$9="","",'Drivers'!$D$9)</x:f>
        <x:v>Accrual</x:v>
      </x:c>
      <x:c r="M217" s="70" t="str">
        <x:f>IF('Drivers'!$D$12="","",'Drivers'!$D$12)</x:f>
      </x:c>
      <x:c r="N217" s="42" t="str">
        <x:f>IF('Drivers'!$D$15="","",'Drivers'!$D$15)</x:f>
      </x:c>
      <x:c r="O217" s="42" t="str">
        <x:v>expense</x:v>
      </x:c>
      <x:c r="P217" s="42" t="str">
        <x:v>above_noi</x:v>
      </x:c>
      <x:c r="Q217" s="42" t="n">
        <x:v>1</x:v>
      </x:c>
      <x:c r="R217" s="51" t="str">
        <x:f>IF(V217="Closed: excluded","",IF(ISNUMBER('STR Build'!O43),'STR Build'!O43,""))</x:f>
      </x:c>
      <x:c r="S217" s="42" t="str">
        <x:v>STR Build!O43</x:v>
      </x:c>
      <x:c r="T217" s="42" t="str">
        <x:v>Formula</x:v>
      </x:c>
      <x:c r="U217" s="67" t="str">
        <x:f>IF(ISNUMBER(R217),IF(R217=0,"Populated zero","Populated"),"Missing")</x:f>
        <x:v>Missing</x:v>
      </x:c>
      <x:c r="V217" s="67" t="str">
        <x:f>IF(AND(ISNUMBER('Drivers'!$D$12),E217&lt;='Drivers'!$D$12),"Closed: excluded","Open forecast")</x:f>
        <x:v>Open forecast</x:v>
      </x:c>
    </x:row>
    <x:row r="218" ht="22" customHeight="1">
      <x:c r="A218" s="42"/>
      <x:c r="B218" s="42"/>
      <x:c r="C218" s="42" t="str">
        <x:f>IF('Drivers'!$D$5="","",'Drivers'!$D$5)</x:f>
      </x:c>
      <x:c r="D218" s="42" t="str">
        <x:f>IF('Drivers'!$D$4="","",'Drivers'!$D$4)</x:f>
      </x:c>
      <x:c r="E218" s="69" t="n">
        <x:f>'STR Build'!O$6</x:f>
        <x:v>46661</x:v>
      </x:c>
      <x:c r="F218" s="42" t="str">
        <x:f>IF('Drivers'!$D$10="","",'Drivers'!$D$10)</x:f>
        <x:v>Working Draft</x:v>
      </x:c>
      <x:c r="G218" s="42" t="str">
        <x:f>IF('GL Mapping'!I20="",'GL Mapping'!C20,'GL Mapping'!I20)</x:f>
        <x:v>660100</x:v>
      </x:c>
      <x:c r="H218" s="42" t="str">
        <x:v>Maintenance</x:v>
      </x:c>
      <x:c r="I218" s="42" t="str">
        <x:f>IF('Drivers'!$D$11="","",'Drivers'!$D$11)</x:f>
        <x:v>Short-Term Rentals</x:v>
      </x:c>
      <x:c r="J218" s="42" t="str">
        <x:f>IF('Drivers'!$D$8="","",'Drivers'!$D$8)</x:f>
        <x:v>USD</x:v>
      </x:c>
      <x:c r="K218" s="42" t="str">
        <x:f>IF('Drivers'!$D$21="","",'Drivers'!$D$21)</x:f>
        <x:v>Calendar</x:v>
      </x:c>
      <x:c r="L218" s="42" t="str">
        <x:f>IF('Drivers'!$D$9="","",'Drivers'!$D$9)</x:f>
        <x:v>Accrual</x:v>
      </x:c>
      <x:c r="M218" s="70" t="str">
        <x:f>IF('Drivers'!$D$12="","",'Drivers'!$D$12)</x:f>
      </x:c>
      <x:c r="N218" s="42" t="str">
        <x:f>IF('Drivers'!$D$15="","",'Drivers'!$D$15)</x:f>
      </x:c>
      <x:c r="O218" s="42" t="str">
        <x:v>expense</x:v>
      </x:c>
      <x:c r="P218" s="42" t="str">
        <x:v>above_noi</x:v>
      </x:c>
      <x:c r="Q218" s="42" t="n">
        <x:v>1</x:v>
      </x:c>
      <x:c r="R218" s="51" t="str">
        <x:f>IF(V218="Closed: excluded","",IF(ISNUMBER('STR Build'!O44),'STR Build'!O44,""))</x:f>
      </x:c>
      <x:c r="S218" s="42" t="str">
        <x:v>STR Build!O44</x:v>
      </x:c>
      <x:c r="T218" s="42" t="str">
        <x:v>Formula</x:v>
      </x:c>
      <x:c r="U218" s="67" t="str">
        <x:f>IF(ISNUMBER(R218),IF(R218=0,"Populated zero","Populated"),"Missing")</x:f>
        <x:v>Missing</x:v>
      </x:c>
      <x:c r="V218" s="67" t="str">
        <x:f>IF(AND(ISNUMBER('Drivers'!$D$12),E218&lt;='Drivers'!$D$12),"Closed: excluded","Open forecast")</x:f>
        <x:v>Open forecast</x:v>
      </x:c>
    </x:row>
    <x:row r="219" ht="22" customHeight="1">
      <x:c r="A219" s="42"/>
      <x:c r="B219" s="42"/>
      <x:c r="C219" s="42" t="str">
        <x:f>IF('Drivers'!$D$5="","",'Drivers'!$D$5)</x:f>
      </x:c>
      <x:c r="D219" s="42" t="str">
        <x:f>IF('Drivers'!$D$4="","",'Drivers'!$D$4)</x:f>
      </x:c>
      <x:c r="E219" s="69" t="n">
        <x:f>'STR Build'!O$6</x:f>
        <x:v>46661</x:v>
      </x:c>
      <x:c r="F219" s="42" t="str">
        <x:f>IF('Drivers'!$D$10="","",'Drivers'!$D$10)</x:f>
        <x:v>Working Draft</x:v>
      </x:c>
      <x:c r="G219" s="42" t="str">
        <x:f>IF('GL Mapping'!I21="",'GL Mapping'!C21,'GL Mapping'!I21)</x:f>
        <x:v>670100</x:v>
      </x:c>
      <x:c r="H219" s="42" t="str">
        <x:v>Insurance</x:v>
      </x:c>
      <x:c r="I219" s="42" t="str">
        <x:f>IF('Drivers'!$D$11="","",'Drivers'!$D$11)</x:f>
        <x:v>Short-Term Rentals</x:v>
      </x:c>
      <x:c r="J219" s="42" t="str">
        <x:f>IF('Drivers'!$D$8="","",'Drivers'!$D$8)</x:f>
        <x:v>USD</x:v>
      </x:c>
      <x:c r="K219" s="42" t="str">
        <x:f>IF('Drivers'!$D$21="","",'Drivers'!$D$21)</x:f>
        <x:v>Calendar</x:v>
      </x:c>
      <x:c r="L219" s="42" t="str">
        <x:f>IF('Drivers'!$D$9="","",'Drivers'!$D$9)</x:f>
        <x:v>Accrual</x:v>
      </x:c>
      <x:c r="M219" s="70" t="str">
        <x:f>IF('Drivers'!$D$12="","",'Drivers'!$D$12)</x:f>
      </x:c>
      <x:c r="N219" s="42" t="str">
        <x:f>IF('Drivers'!$D$15="","",'Drivers'!$D$15)</x:f>
      </x:c>
      <x:c r="O219" s="42" t="str">
        <x:v>expense</x:v>
      </x:c>
      <x:c r="P219" s="42" t="str">
        <x:v>above_noi</x:v>
      </x:c>
      <x:c r="Q219" s="42" t="n">
        <x:v>1</x:v>
      </x:c>
      <x:c r="R219" s="51" t="str">
        <x:f>IF(V219="Closed: excluded","",IF(ISNUMBER('STR Build'!O45),'STR Build'!O45,""))</x:f>
      </x:c>
      <x:c r="S219" s="42" t="str">
        <x:v>STR Build!O45</x:v>
      </x:c>
      <x:c r="T219" s="42" t="str">
        <x:v>Formula</x:v>
      </x:c>
      <x:c r="U219" s="67" t="str">
        <x:f>IF(ISNUMBER(R219),IF(R219=0,"Populated zero","Populated"),"Missing")</x:f>
        <x:v>Missing</x:v>
      </x:c>
      <x:c r="V219" s="67" t="str">
        <x:f>IF(AND(ISNUMBER('Drivers'!$D$12),E219&lt;='Drivers'!$D$12),"Closed: excluded","Open forecast")</x:f>
        <x:v>Open forecast</x:v>
      </x:c>
    </x:row>
    <x:row r="220" ht="22" customHeight="1">
      <x:c r="A220" s="42"/>
      <x:c r="B220" s="42"/>
      <x:c r="C220" s="42" t="str">
        <x:f>IF('Drivers'!$D$5="","",'Drivers'!$D$5)</x:f>
      </x:c>
      <x:c r="D220" s="42" t="str">
        <x:f>IF('Drivers'!$D$4="","",'Drivers'!$D$4)</x:f>
      </x:c>
      <x:c r="E220" s="69" t="n">
        <x:f>'STR Build'!O$6</x:f>
        <x:v>46661</x:v>
      </x:c>
      <x:c r="F220" s="42" t="str">
        <x:f>IF('Drivers'!$D$10="","",'Drivers'!$D$10)</x:f>
        <x:v>Working Draft</x:v>
      </x:c>
      <x:c r="G220" s="42" t="str">
        <x:f>IF('GL Mapping'!I22="",'GL Mapping'!C22,'GL Mapping'!I22)</x:f>
        <x:v>680100</x:v>
      </x:c>
      <x:c r="H220" s="42" t="str">
        <x:v>Property taxes</x:v>
      </x:c>
      <x:c r="I220" s="42" t="str">
        <x:f>IF('Drivers'!$D$11="","",'Drivers'!$D$11)</x:f>
        <x:v>Short-Term Rentals</x:v>
      </x:c>
      <x:c r="J220" s="42" t="str">
        <x:f>IF('Drivers'!$D$8="","",'Drivers'!$D$8)</x:f>
        <x:v>USD</x:v>
      </x:c>
      <x:c r="K220" s="42" t="str">
        <x:f>IF('Drivers'!$D$21="","",'Drivers'!$D$21)</x:f>
        <x:v>Calendar</x:v>
      </x:c>
      <x:c r="L220" s="42" t="str">
        <x:f>IF('Drivers'!$D$9="","",'Drivers'!$D$9)</x:f>
        <x:v>Accrual</x:v>
      </x:c>
      <x:c r="M220" s="70" t="str">
        <x:f>IF('Drivers'!$D$12="","",'Drivers'!$D$12)</x:f>
      </x:c>
      <x:c r="N220" s="42" t="str">
        <x:f>IF('Drivers'!$D$15="","",'Drivers'!$D$15)</x:f>
      </x:c>
      <x:c r="O220" s="42" t="str">
        <x:v>expense</x:v>
      </x:c>
      <x:c r="P220" s="42" t="str">
        <x:v>above_noi</x:v>
      </x:c>
      <x:c r="Q220" s="42" t="n">
        <x:v>1</x:v>
      </x:c>
      <x:c r="R220" s="51" t="str">
        <x:f>IF(V220="Closed: excluded","",IF(ISNUMBER('STR Build'!O46),'STR Build'!O46,""))</x:f>
      </x:c>
      <x:c r="S220" s="42" t="str">
        <x:v>STR Build!O46</x:v>
      </x:c>
      <x:c r="T220" s="42" t="str">
        <x:v>Formula</x:v>
      </x:c>
      <x:c r="U220" s="67" t="str">
        <x:f>IF(ISNUMBER(R220),IF(R220=0,"Populated zero","Populated"),"Missing")</x:f>
        <x:v>Missing</x:v>
      </x:c>
      <x:c r="V220" s="67" t="str">
        <x:f>IF(AND(ISNUMBER('Drivers'!$D$12),E220&lt;='Drivers'!$D$12),"Closed: excluded","Open forecast")</x:f>
        <x:v>Open forecast</x:v>
      </x:c>
    </x:row>
    <x:row r="221" ht="22" customHeight="1">
      <x:c r="A221" s="42"/>
      <x:c r="B221" s="42"/>
      <x:c r="C221" s="42" t="str">
        <x:f>IF('Drivers'!$D$5="","",'Drivers'!$D$5)</x:f>
      </x:c>
      <x:c r="D221" s="42" t="str">
        <x:f>IF('Drivers'!$D$4="","",'Drivers'!$D$4)</x:f>
      </x:c>
      <x:c r="E221" s="69" t="n">
        <x:f>'STR Build'!O$6</x:f>
        <x:v>46661</x:v>
      </x:c>
      <x:c r="F221" s="42" t="str">
        <x:f>IF('Drivers'!$D$10="","",'Drivers'!$D$10)</x:f>
        <x:v>Working Draft</x:v>
      </x:c>
      <x:c r="G221" s="42" t="str">
        <x:f>IF('GL Mapping'!I23="",'GL Mapping'!C23,'GL Mapping'!I23)</x:f>
        <x:v>690100</x:v>
      </x:c>
      <x:c r="H221" s="42" t="str">
        <x:v>Other operating expenses</x:v>
      </x:c>
      <x:c r="I221" s="42" t="str">
        <x:f>IF('Drivers'!$D$11="","",'Drivers'!$D$11)</x:f>
        <x:v>Short-Term Rentals</x:v>
      </x:c>
      <x:c r="J221" s="42" t="str">
        <x:f>IF('Drivers'!$D$8="","",'Drivers'!$D$8)</x:f>
        <x:v>USD</x:v>
      </x:c>
      <x:c r="K221" s="42" t="str">
        <x:f>IF('Drivers'!$D$21="","",'Drivers'!$D$21)</x:f>
        <x:v>Calendar</x:v>
      </x:c>
      <x:c r="L221" s="42" t="str">
        <x:f>IF('Drivers'!$D$9="","",'Drivers'!$D$9)</x:f>
        <x:v>Accrual</x:v>
      </x:c>
      <x:c r="M221" s="70" t="str">
        <x:f>IF('Drivers'!$D$12="","",'Drivers'!$D$12)</x:f>
      </x:c>
      <x:c r="N221" s="42" t="str">
        <x:f>IF('Drivers'!$D$15="","",'Drivers'!$D$15)</x:f>
      </x:c>
      <x:c r="O221" s="42" t="str">
        <x:v>expense</x:v>
      </x:c>
      <x:c r="P221" s="42" t="str">
        <x:v>above_noi</x:v>
      </x:c>
      <x:c r="Q221" s="42" t="n">
        <x:v>1</x:v>
      </x:c>
      <x:c r="R221" s="51" t="str">
        <x:f>IF(V221="Closed: excluded","",IF(ISNUMBER('STR Build'!O47),'STR Build'!O47,""))</x:f>
      </x:c>
      <x:c r="S221" s="42" t="str">
        <x:v>STR Build!O47</x:v>
      </x:c>
      <x:c r="T221" s="42" t="str">
        <x:v>Formula</x:v>
      </x:c>
      <x:c r="U221" s="67" t="str">
        <x:f>IF(ISNUMBER(R221),IF(R221=0,"Populated zero","Populated"),"Missing")</x:f>
        <x:v>Missing</x:v>
      </x:c>
      <x:c r="V221" s="67" t="str">
        <x:f>IF(AND(ISNUMBER('Drivers'!$D$12),E221&lt;='Drivers'!$D$12),"Closed: excluded","Open forecast")</x:f>
        <x:v>Open forecast</x:v>
      </x:c>
    </x:row>
    <x:row r="222" ht="22" customHeight="1">
      <x:c r="A222" s="42"/>
      <x:c r="B222" s="42"/>
      <x:c r="C222" s="42" t="str">
        <x:f>IF('Drivers'!$D$5="","",'Drivers'!$D$5)</x:f>
      </x:c>
      <x:c r="D222" s="42" t="str">
        <x:f>IF('Drivers'!$D$4="","",'Drivers'!$D$4)</x:f>
      </x:c>
      <x:c r="E222" s="69" t="n">
        <x:f>'STR Build'!O$6</x:f>
        <x:v>46661</x:v>
      </x:c>
      <x:c r="F222" s="42" t="str">
        <x:f>IF('Drivers'!$D$10="","",'Drivers'!$D$10)</x:f>
        <x:v>Working Draft</x:v>
      </x:c>
      <x:c r="G222" s="42" t="str">
        <x:f>IF('GL Mapping'!I24="",'GL Mapping'!C24,'GL Mapping'!I24)</x:f>
        <x:v>710100</x:v>
      </x:c>
      <x:c r="H222" s="42" t="str">
        <x:v>Other below-NOI cash costs</x:v>
      </x:c>
      <x:c r="I222" s="42" t="str">
        <x:f>IF('Drivers'!$D$11="","",'Drivers'!$D$11)</x:f>
        <x:v>Short-Term Rentals</x:v>
      </x:c>
      <x:c r="J222" s="42" t="str">
        <x:f>IF('Drivers'!$D$8="","",'Drivers'!$D$8)</x:f>
        <x:v>USD</x:v>
      </x:c>
      <x:c r="K222" s="42" t="str">
        <x:f>IF('Drivers'!$D$21="","",'Drivers'!$D$21)</x:f>
        <x:v>Calendar</x:v>
      </x:c>
      <x:c r="L222" s="42" t="str">
        <x:f>IF('Drivers'!$D$9="","",'Drivers'!$D$9)</x:f>
        <x:v>Accrual</x:v>
      </x:c>
      <x:c r="M222" s="70" t="str">
        <x:f>IF('Drivers'!$D$12="","",'Drivers'!$D$12)</x:f>
      </x:c>
      <x:c r="N222" s="42" t="str">
        <x:f>IF('Drivers'!$D$15="","",'Drivers'!$D$15)</x:f>
      </x:c>
      <x:c r="O222" s="42" t="str">
        <x:v>below_noi</x:v>
      </x:c>
      <x:c r="P222" s="42" t="str">
        <x:v>below_noi</x:v>
      </x:c>
      <x:c r="Q222" s="42" t="n">
        <x:v>1</x:v>
      </x:c>
      <x:c r="R222" s="51" t="str">
        <x:f>IF(V222="Closed: excluded","",IF(ISNUMBER('STR Build'!O55),'STR Build'!O55,""))</x:f>
      </x:c>
      <x:c r="S222" s="42" t="str">
        <x:v>STR Build!O55</x:v>
      </x:c>
      <x:c r="T222" s="42" t="str">
        <x:v>Formula</x:v>
      </x:c>
      <x:c r="U222" s="67" t="str">
        <x:f>IF(ISNUMBER(R222),IF(R222=0,"Populated zero","Populated"),"Missing")</x:f>
        <x:v>Missing</x:v>
      </x:c>
      <x:c r="V222" s="67" t="str">
        <x:f>IF(AND(ISNUMBER('Drivers'!$D$12),E222&lt;='Drivers'!$D$12),"Closed: excluded","Open forecast")</x:f>
        <x:v>Open forecast</x:v>
      </x:c>
    </x:row>
    <x:row r="223" ht="22" customHeight="1">
      <x:c r="A223" s="42"/>
      <x:c r="B223" s="42"/>
      <x:c r="C223" s="42" t="str">
        <x:f>IF('Drivers'!$D$5="","",'Drivers'!$D$5)</x:f>
      </x:c>
      <x:c r="D223" s="42" t="str">
        <x:f>IF('Drivers'!$D$4="","",'Drivers'!$D$4)</x:f>
      </x:c>
      <x:c r="E223" s="69" t="n">
        <x:f>'STR Build'!O$6</x:f>
        <x:v>46661</x:v>
      </x:c>
      <x:c r="F223" s="42" t="str">
        <x:f>IF('Drivers'!$D$10="","",'Drivers'!$D$10)</x:f>
        <x:v>Working Draft</x:v>
      </x:c>
      <x:c r="G223" s="42" t="str">
        <x:f>IF('GL Mapping'!I25="",'GL Mapping'!C25,'GL Mapping'!I25)</x:f>
        <x:v>720100</x:v>
      </x:c>
      <x:c r="H223" s="42" t="str">
        <x:v>Debt interest</x:v>
      </x:c>
      <x:c r="I223" s="42" t="str">
        <x:f>IF('Drivers'!$D$11="","",'Drivers'!$D$11)</x:f>
        <x:v>Short-Term Rentals</x:v>
      </x:c>
      <x:c r="J223" s="42" t="str">
        <x:f>IF('Drivers'!$D$8="","",'Drivers'!$D$8)</x:f>
        <x:v>USD</x:v>
      </x:c>
      <x:c r="K223" s="42" t="str">
        <x:f>IF('Drivers'!$D$21="","",'Drivers'!$D$21)</x:f>
        <x:v>Calendar</x:v>
      </x:c>
      <x:c r="L223" s="42" t="str">
        <x:f>IF('Drivers'!$D$9="","",'Drivers'!$D$9)</x:f>
        <x:v>Accrual</x:v>
      </x:c>
      <x:c r="M223" s="70" t="str">
        <x:f>IF('Drivers'!$D$12="","",'Drivers'!$D$12)</x:f>
      </x:c>
      <x:c r="N223" s="42" t="str">
        <x:f>IF('Drivers'!$D$15="","",'Drivers'!$D$15)</x:f>
      </x:c>
      <x:c r="O223" s="42" t="str">
        <x:v>debt</x:v>
      </x:c>
      <x:c r="P223" s="42" t="str">
        <x:v>below_noi</x:v>
      </x:c>
      <x:c r="Q223" s="42" t="n">
        <x:v>1</x:v>
      </x:c>
      <x:c r="R223" s="51" t="str">
        <x:f>IF(V223="Closed: excluded","",IF(ISNUMBER('STR Build'!O56),'STR Build'!O56,""))</x:f>
      </x:c>
      <x:c r="S223" s="42" t="str">
        <x:v>STR Build!O56</x:v>
      </x:c>
      <x:c r="T223" s="42" t="str">
        <x:v>Formula</x:v>
      </x:c>
      <x:c r="U223" s="67" t="str">
        <x:f>IF(ISNUMBER(R223),IF(R223=0,"Populated zero","Populated"),"Missing")</x:f>
        <x:v>Missing</x:v>
      </x:c>
      <x:c r="V223" s="67" t="str">
        <x:f>IF(AND(ISNUMBER('Drivers'!$D$12),E223&lt;='Drivers'!$D$12),"Closed: excluded","Open forecast")</x:f>
        <x:v>Open forecast</x:v>
      </x:c>
    </x:row>
    <x:row r="224" ht="22" customHeight="1">
      <x:c r="A224" s="42"/>
      <x:c r="B224" s="42"/>
      <x:c r="C224" s="42" t="str">
        <x:f>IF('Drivers'!$D$5="","",'Drivers'!$D$5)</x:f>
      </x:c>
      <x:c r="D224" s="42" t="str">
        <x:f>IF('Drivers'!$D$4="","",'Drivers'!$D$4)</x:f>
      </x:c>
      <x:c r="E224" s="69" t="n">
        <x:f>'STR Build'!O$6</x:f>
        <x:v>46661</x:v>
      </x:c>
      <x:c r="F224" s="42" t="str">
        <x:f>IF('Drivers'!$D$10="","",'Drivers'!$D$10)</x:f>
        <x:v>Working Draft</x:v>
      </x:c>
      <x:c r="G224" s="42" t="str">
        <x:f>IF('GL Mapping'!I26="",'GL Mapping'!C26,'GL Mapping'!I26)</x:f>
        <x:v>720200</x:v>
      </x:c>
      <x:c r="H224" s="42" t="str">
        <x:v>Debt principal</x:v>
      </x:c>
      <x:c r="I224" s="42" t="str">
        <x:f>IF('Drivers'!$D$11="","",'Drivers'!$D$11)</x:f>
        <x:v>Short-Term Rentals</x:v>
      </x:c>
      <x:c r="J224" s="42" t="str">
        <x:f>IF('Drivers'!$D$8="","",'Drivers'!$D$8)</x:f>
        <x:v>USD</x:v>
      </x:c>
      <x:c r="K224" s="42" t="str">
        <x:f>IF('Drivers'!$D$21="","",'Drivers'!$D$21)</x:f>
        <x:v>Calendar</x:v>
      </x:c>
      <x:c r="L224" s="42" t="str">
        <x:f>IF('Drivers'!$D$9="","",'Drivers'!$D$9)</x:f>
        <x:v>Accrual</x:v>
      </x:c>
      <x:c r="M224" s="70" t="str">
        <x:f>IF('Drivers'!$D$12="","",'Drivers'!$D$12)</x:f>
      </x:c>
      <x:c r="N224" s="42" t="str">
        <x:f>IF('Drivers'!$D$15="","",'Drivers'!$D$15)</x:f>
      </x:c>
      <x:c r="O224" s="42" t="str">
        <x:v>debt</x:v>
      </x:c>
      <x:c r="P224" s="42" t="str">
        <x:v>below_noi</x:v>
      </x:c>
      <x:c r="Q224" s="42" t="n">
        <x:v>1</x:v>
      </x:c>
      <x:c r="R224" s="51" t="str">
        <x:f>IF(V224="Closed: excluded","",IF(ISNUMBER('STR Build'!O57),'STR Build'!O57,""))</x:f>
      </x:c>
      <x:c r="S224" s="42" t="str">
        <x:v>STR Build!O57</x:v>
      </x:c>
      <x:c r="T224" s="42" t="str">
        <x:v>Formula</x:v>
      </x:c>
      <x:c r="U224" s="67" t="str">
        <x:f>IF(ISNUMBER(R224),IF(R224=0,"Populated zero","Populated"),"Missing")</x:f>
        <x:v>Missing</x:v>
      </x:c>
      <x:c r="V224" s="67" t="str">
        <x:f>IF(AND(ISNUMBER('Drivers'!$D$12),E224&lt;='Drivers'!$D$12),"Closed: excluded","Open forecast")</x:f>
        <x:v>Open forecast</x:v>
      </x:c>
    </x:row>
    <x:row r="225" ht="22" customHeight="1">
      <x:c r="A225" s="42"/>
      <x:c r="B225" s="42"/>
      <x:c r="C225" s="42" t="str">
        <x:f>IF('Drivers'!$D$5="","",'Drivers'!$D$5)</x:f>
      </x:c>
      <x:c r="D225" s="42" t="str">
        <x:f>IF('Drivers'!$D$4="","",'Drivers'!$D$4)</x:f>
      </x:c>
      <x:c r="E225" s="69" t="n">
        <x:f>'STR Build'!O$6</x:f>
        <x:v>46661</x:v>
      </x:c>
      <x:c r="F225" s="42" t="str">
        <x:f>IF('Drivers'!$D$10="","",'Drivers'!$D$10)</x:f>
        <x:v>Working Draft</x:v>
      </x:c>
      <x:c r="G225" s="42" t="str">
        <x:f>IF('GL Mapping'!I27="",'GL Mapping'!C27,'GL Mapping'!I27)</x:f>
        <x:v>730100</x:v>
      </x:c>
      <x:c r="H225" s="42" t="str">
        <x:v>Capital expenditure</x:v>
      </x:c>
      <x:c r="I225" s="42" t="str">
        <x:f>IF('Drivers'!$D$11="","",'Drivers'!$D$11)</x:f>
        <x:v>Short-Term Rentals</x:v>
      </x:c>
      <x:c r="J225" s="42" t="str">
        <x:f>IF('Drivers'!$D$8="","",'Drivers'!$D$8)</x:f>
        <x:v>USD</x:v>
      </x:c>
      <x:c r="K225" s="42" t="str">
        <x:f>IF('Drivers'!$D$21="","",'Drivers'!$D$21)</x:f>
        <x:v>Calendar</x:v>
      </x:c>
      <x:c r="L225" s="42" t="str">
        <x:f>IF('Drivers'!$D$9="","",'Drivers'!$D$9)</x:f>
        <x:v>Accrual</x:v>
      </x:c>
      <x:c r="M225" s="70" t="str">
        <x:f>IF('Drivers'!$D$12="","",'Drivers'!$D$12)</x:f>
      </x:c>
      <x:c r="N225" s="42" t="str">
        <x:f>IF('Drivers'!$D$15="","",'Drivers'!$D$15)</x:f>
      </x:c>
      <x:c r="O225" s="42" t="str">
        <x:v>capital</x:v>
      </x:c>
      <x:c r="P225" s="42" t="str">
        <x:v>below_noi</x:v>
      </x:c>
      <x:c r="Q225" s="42" t="n">
        <x:v>1</x:v>
      </x:c>
      <x:c r="R225" s="51" t="str">
        <x:f>IF(V225="Closed: excluded","",IF(ISNUMBER('STR Build'!O58),'STR Build'!O58,""))</x:f>
      </x:c>
      <x:c r="S225" s="42" t="str">
        <x:v>STR Build!O58</x:v>
      </x:c>
      <x:c r="T225" s="42" t="str">
        <x:v>Formula</x:v>
      </x:c>
      <x:c r="U225" s="67" t="str">
        <x:f>IF(ISNUMBER(R225),IF(R225=0,"Populated zero","Populated"),"Missing")</x:f>
        <x:v>Missing</x:v>
      </x:c>
      <x:c r="V225" s="67" t="str">
        <x:f>IF(AND(ISNUMBER('Drivers'!$D$12),E225&lt;='Drivers'!$D$12),"Closed: excluded","Open forecast")</x:f>
        <x:v>Open forecast</x:v>
      </x:c>
    </x:row>
    <x:row r="226" ht="22" customHeight="1">
      <x:c r="A226" s="42"/>
      <x:c r="B226" s="42"/>
      <x:c r="C226" s="42" t="str">
        <x:f>IF('Drivers'!$D$5="","",'Drivers'!$D$5)</x:f>
      </x:c>
      <x:c r="D226" s="42" t="str">
        <x:f>IF('Drivers'!$D$4="","",'Drivers'!$D$4)</x:f>
      </x:c>
      <x:c r="E226" s="69" t="n">
        <x:f>'STR Build'!O$6</x:f>
        <x:v>46661</x:v>
      </x:c>
      <x:c r="F226" s="42" t="str">
        <x:f>IF('Drivers'!$D$10="","",'Drivers'!$D$10)</x:f>
        <x:v>Working Draft</x:v>
      </x:c>
      <x:c r="G226" s="42" t="str">
        <x:f>IF('GL Mapping'!I28="",'GL Mapping'!C28,'GL Mapping'!I28)</x:f>
        <x:v>740100</x:v>
      </x:c>
      <x:c r="H226" s="42" t="str">
        <x:v>Working-capital cash use</x:v>
      </x:c>
      <x:c r="I226" s="42" t="str">
        <x:f>IF('Drivers'!$D$11="","",'Drivers'!$D$11)</x:f>
        <x:v>Short-Term Rentals</x:v>
      </x:c>
      <x:c r="J226" s="42" t="str">
        <x:f>IF('Drivers'!$D$8="","",'Drivers'!$D$8)</x:f>
        <x:v>USD</x:v>
      </x:c>
      <x:c r="K226" s="42" t="str">
        <x:f>IF('Drivers'!$D$21="","",'Drivers'!$D$21)</x:f>
        <x:v>Calendar</x:v>
      </x:c>
      <x:c r="L226" s="42" t="str">
        <x:f>IF('Drivers'!$D$9="","",'Drivers'!$D$9)</x:f>
        <x:v>Accrual</x:v>
      </x:c>
      <x:c r="M226" s="70" t="str">
        <x:f>IF('Drivers'!$D$12="","",'Drivers'!$D$12)</x:f>
      </x:c>
      <x:c r="N226" s="42" t="str">
        <x:f>IF('Drivers'!$D$15="","",'Drivers'!$D$15)</x:f>
      </x:c>
      <x:c r="O226" s="42" t="str">
        <x:v>below_noi</x:v>
      </x:c>
      <x:c r="P226" s="42" t="str">
        <x:v>below_noi</x:v>
      </x:c>
      <x:c r="Q226" s="42" t="n">
        <x:v>1</x:v>
      </x:c>
      <x:c r="R226" s="51" t="str">
        <x:f>IF(V226="Closed: excluded","",IF(ISNUMBER('STR Build'!O59),'STR Build'!O59,""))</x:f>
      </x:c>
      <x:c r="S226" s="42" t="str">
        <x:v>STR Build!O59</x:v>
      </x:c>
      <x:c r="T226" s="42" t="str">
        <x:v>Formula</x:v>
      </x:c>
      <x:c r="U226" s="67" t="str">
        <x:f>IF(ISNUMBER(R226),IF(R226=0,"Populated zero","Populated"),"Missing")</x:f>
        <x:v>Missing</x:v>
      </x:c>
      <x:c r="V226" s="67" t="str">
        <x:f>IF(AND(ISNUMBER('Drivers'!$D$12),E226&lt;='Drivers'!$D$12),"Closed: excluded","Open forecast")</x:f>
        <x:v>Open forecast</x:v>
      </x:c>
    </x:row>
    <x:row r="227" ht="22" customHeight="1">
      <x:c r="A227" s="42"/>
      <x:c r="B227" s="42"/>
      <x:c r="C227" s="42" t="str">
        <x:f>IF('Drivers'!$D$5="","",'Drivers'!$D$5)</x:f>
      </x:c>
      <x:c r="D227" s="42" t="str">
        <x:f>IF('Drivers'!$D$4="","",'Drivers'!$D$4)</x:f>
      </x:c>
      <x:c r="E227" s="69" t="n">
        <x:f>'STR Build'!P$6</x:f>
        <x:v>46692</x:v>
      </x:c>
      <x:c r="F227" s="42" t="str">
        <x:f>IF('Drivers'!$D$10="","",'Drivers'!$D$10)</x:f>
        <x:v>Working Draft</x:v>
      </x:c>
      <x:c r="G227" s="42" t="str">
        <x:f>IF('GL Mapping'!I7="",'GL Mapping'!C7,'GL Mapping'!I7)</x:f>
        <x:v>410100</x:v>
      </x:c>
      <x:c r="H227" s="42" t="str">
        <x:v>Lodging revenue</x:v>
      </x:c>
      <x:c r="I227" s="42" t="str">
        <x:f>IF('Drivers'!$D$11="","",'Drivers'!$D$11)</x:f>
        <x:v>Short-Term Rentals</x:v>
      </x:c>
      <x:c r="J227" s="42" t="str">
        <x:f>IF('Drivers'!$D$8="","",'Drivers'!$D$8)</x:f>
        <x:v>USD</x:v>
      </x:c>
      <x:c r="K227" s="42" t="str">
        <x:f>IF('Drivers'!$D$21="","",'Drivers'!$D$21)</x:f>
        <x:v>Calendar</x:v>
      </x:c>
      <x:c r="L227" s="42" t="str">
        <x:f>IF('Drivers'!$D$9="","",'Drivers'!$D$9)</x:f>
        <x:v>Accrual</x:v>
      </x:c>
      <x:c r="M227" s="70" t="str">
        <x:f>IF('Drivers'!$D$12="","",'Drivers'!$D$12)</x:f>
      </x:c>
      <x:c r="N227" s="42" t="str">
        <x:f>IF('Drivers'!$D$15="","",'Drivers'!$D$15)</x:f>
      </x:c>
      <x:c r="O227" s="42" t="str">
        <x:v>income</x:v>
      </x:c>
      <x:c r="P227" s="42" t="str">
        <x:v>above_noi</x:v>
      </x:c>
      <x:c r="Q227" s="42" t="n">
        <x:v>1</x:v>
      </x:c>
      <x:c r="R227" s="51" t="str">
        <x:f>IF(V227="Closed: excluded","",IF(ISNUMBER('STR Build'!P28),'STR Build'!P28,""))</x:f>
      </x:c>
      <x:c r="S227" s="42" t="str">
        <x:v>STR Build!P28</x:v>
      </x:c>
      <x:c r="T227" s="42" t="str">
        <x:v>Formula</x:v>
      </x:c>
      <x:c r="U227" s="67" t="str">
        <x:f>IF(ISNUMBER(R227),IF(R227=0,"Populated zero","Populated"),"Missing")</x:f>
        <x:v>Missing</x:v>
      </x:c>
      <x:c r="V227" s="67" t="str">
        <x:f>IF(AND(ISNUMBER('Drivers'!$D$12),E227&lt;='Drivers'!$D$12),"Closed: excluded","Open forecast")</x:f>
        <x:v>Open forecast</x:v>
      </x:c>
    </x:row>
    <x:row r="228" ht="22" customHeight="1">
      <x:c r="A228" s="42"/>
      <x:c r="B228" s="42"/>
      <x:c r="C228" s="42" t="str">
        <x:f>IF('Drivers'!$D$5="","",'Drivers'!$D$5)</x:f>
      </x:c>
      <x:c r="D228" s="42" t="str">
        <x:f>IF('Drivers'!$D$4="","",'Drivers'!$D$4)</x:f>
      </x:c>
      <x:c r="E228" s="69" t="n">
        <x:f>'STR Build'!P$6</x:f>
        <x:v>46692</x:v>
      </x:c>
      <x:c r="F228" s="42" t="str">
        <x:f>IF('Drivers'!$D$10="","",'Drivers'!$D$10)</x:f>
        <x:v>Working Draft</x:v>
      </x:c>
      <x:c r="G228" s="42" t="str">
        <x:f>IF('GL Mapping'!I8="",'GL Mapping'!C8,'GL Mapping'!I8)</x:f>
        <x:v>410200</x:v>
      </x:c>
      <x:c r="H228" s="42" t="str">
        <x:v>Cleaning fee income</x:v>
      </x:c>
      <x:c r="I228" s="42" t="str">
        <x:f>IF('Drivers'!$D$11="","",'Drivers'!$D$11)</x:f>
        <x:v>Short-Term Rentals</x:v>
      </x:c>
      <x:c r="J228" s="42" t="str">
        <x:f>IF('Drivers'!$D$8="","",'Drivers'!$D$8)</x:f>
        <x:v>USD</x:v>
      </x:c>
      <x:c r="K228" s="42" t="str">
        <x:f>IF('Drivers'!$D$21="","",'Drivers'!$D$21)</x:f>
        <x:v>Calendar</x:v>
      </x:c>
      <x:c r="L228" s="42" t="str">
        <x:f>IF('Drivers'!$D$9="","",'Drivers'!$D$9)</x:f>
        <x:v>Accrual</x:v>
      </x:c>
      <x:c r="M228" s="70" t="str">
        <x:f>IF('Drivers'!$D$12="","",'Drivers'!$D$12)</x:f>
      </x:c>
      <x:c r="N228" s="42" t="str">
        <x:f>IF('Drivers'!$D$15="","",'Drivers'!$D$15)</x:f>
      </x:c>
      <x:c r="O228" s="42" t="str">
        <x:v>income</x:v>
      </x:c>
      <x:c r="P228" s="42" t="str">
        <x:v>above_noi</x:v>
      </x:c>
      <x:c r="Q228" s="42" t="n">
        <x:v>1</x:v>
      </x:c>
      <x:c r="R228" s="51" t="str">
        <x:f>IF(V228="Closed: excluded","",IF(ISNUMBER('STR Build'!P29),'STR Build'!P29,""))</x:f>
      </x:c>
      <x:c r="S228" s="42" t="str">
        <x:v>STR Build!P29</x:v>
      </x:c>
      <x:c r="T228" s="42" t="str">
        <x:v>Formula</x:v>
      </x:c>
      <x:c r="U228" s="67" t="str">
        <x:f>IF(ISNUMBER(R228),IF(R228=0,"Populated zero","Populated"),"Missing")</x:f>
        <x:v>Missing</x:v>
      </x:c>
      <x:c r="V228" s="67" t="str">
        <x:f>IF(AND(ISNUMBER('Drivers'!$D$12),E228&lt;='Drivers'!$D$12),"Closed: excluded","Open forecast")</x:f>
        <x:v>Open forecast</x:v>
      </x:c>
    </x:row>
    <x:row r="229" ht="22" customHeight="1">
      <x:c r="A229" s="42"/>
      <x:c r="B229" s="42"/>
      <x:c r="C229" s="42" t="str">
        <x:f>IF('Drivers'!$D$5="","",'Drivers'!$D$5)</x:f>
      </x:c>
      <x:c r="D229" s="42" t="str">
        <x:f>IF('Drivers'!$D$4="","",'Drivers'!$D$4)</x:f>
      </x:c>
      <x:c r="E229" s="69" t="n">
        <x:f>'STR Build'!P$6</x:f>
        <x:v>46692</x:v>
      </x:c>
      <x:c r="F229" s="42" t="str">
        <x:f>IF('Drivers'!$D$10="","",'Drivers'!$D$10)</x:f>
        <x:v>Working Draft</x:v>
      </x:c>
      <x:c r="G229" s="42" t="str">
        <x:f>IF('GL Mapping'!I9="",'GL Mapping'!C9,'GL Mapping'!I9)</x:f>
        <x:v>410300</x:v>
      </x:c>
      <x:c r="H229" s="42" t="str">
        <x:v>Other guest fee income</x:v>
      </x:c>
      <x:c r="I229" s="42" t="str">
        <x:f>IF('Drivers'!$D$11="","",'Drivers'!$D$11)</x:f>
        <x:v>Short-Term Rentals</x:v>
      </x:c>
      <x:c r="J229" s="42" t="str">
        <x:f>IF('Drivers'!$D$8="","",'Drivers'!$D$8)</x:f>
        <x:v>USD</x:v>
      </x:c>
      <x:c r="K229" s="42" t="str">
        <x:f>IF('Drivers'!$D$21="","",'Drivers'!$D$21)</x:f>
        <x:v>Calendar</x:v>
      </x:c>
      <x:c r="L229" s="42" t="str">
        <x:f>IF('Drivers'!$D$9="","",'Drivers'!$D$9)</x:f>
        <x:v>Accrual</x:v>
      </x:c>
      <x:c r="M229" s="70" t="str">
        <x:f>IF('Drivers'!$D$12="","",'Drivers'!$D$12)</x:f>
      </x:c>
      <x:c r="N229" s="42" t="str">
        <x:f>IF('Drivers'!$D$15="","",'Drivers'!$D$15)</x:f>
      </x:c>
      <x:c r="O229" s="42" t="str">
        <x:v>income</x:v>
      </x:c>
      <x:c r="P229" s="42" t="str">
        <x:v>above_noi</x:v>
      </x:c>
      <x:c r="Q229" s="42" t="n">
        <x:v>1</x:v>
      </x:c>
      <x:c r="R229" s="51" t="str">
        <x:f>IF(V229="Closed: excluded","",IF(ISNUMBER('STR Build'!P30),'STR Build'!P30,""))</x:f>
      </x:c>
      <x:c r="S229" s="42" t="str">
        <x:v>STR Build!P30</x:v>
      </x:c>
      <x:c r="T229" s="42" t="str">
        <x:v>Formula</x:v>
      </x:c>
      <x:c r="U229" s="67" t="str">
        <x:f>IF(ISNUMBER(R229),IF(R229=0,"Populated zero","Populated"),"Missing")</x:f>
        <x:v>Missing</x:v>
      </x:c>
      <x:c r="V229" s="67" t="str">
        <x:f>IF(AND(ISNUMBER('Drivers'!$D$12),E229&lt;='Drivers'!$D$12),"Closed: excluded","Open forecast")</x:f>
        <x:v>Open forecast</x:v>
      </x:c>
    </x:row>
    <x:row r="230" ht="22" customHeight="1">
      <x:c r="A230" s="42"/>
      <x:c r="B230" s="42"/>
      <x:c r="C230" s="42" t="str">
        <x:f>IF('Drivers'!$D$5="","",'Drivers'!$D$5)</x:f>
      </x:c>
      <x:c r="D230" s="42" t="str">
        <x:f>IF('Drivers'!$D$4="","",'Drivers'!$D$4)</x:f>
      </x:c>
      <x:c r="E230" s="69" t="n">
        <x:f>'STR Build'!P$6</x:f>
        <x:v>46692</x:v>
      </x:c>
      <x:c r="F230" s="42" t="str">
        <x:f>IF('Drivers'!$D$10="","",'Drivers'!$D$10)</x:f>
        <x:v>Working Draft</x:v>
      </x:c>
      <x:c r="G230" s="42" t="str">
        <x:f>IF('GL Mapping'!I10="",'GL Mapping'!C10,'GL Mapping'!I10)</x:f>
        <x:v>419100</x:v>
      </x:c>
      <x:c r="H230" s="42" t="str">
        <x:v>Refunds and discounts</x:v>
      </x:c>
      <x:c r="I230" s="42" t="str">
        <x:f>IF('Drivers'!$D$11="","",'Drivers'!$D$11)</x:f>
        <x:v>Short-Term Rentals</x:v>
      </x:c>
      <x:c r="J230" s="42" t="str">
        <x:f>IF('Drivers'!$D$8="","",'Drivers'!$D$8)</x:f>
        <x:v>USD</x:v>
      </x:c>
      <x:c r="K230" s="42" t="str">
        <x:f>IF('Drivers'!$D$21="","",'Drivers'!$D$21)</x:f>
        <x:v>Calendar</x:v>
      </x:c>
      <x:c r="L230" s="42" t="str">
        <x:f>IF('Drivers'!$D$9="","",'Drivers'!$D$9)</x:f>
        <x:v>Accrual</x:v>
      </x:c>
      <x:c r="M230" s="70" t="str">
        <x:f>IF('Drivers'!$D$12="","",'Drivers'!$D$12)</x:f>
      </x:c>
      <x:c r="N230" s="42" t="str">
        <x:f>IF('Drivers'!$D$15="","",'Drivers'!$D$15)</x:f>
      </x:c>
      <x:c r="O230" s="42" t="str">
        <x:v>contra_income</x:v>
      </x:c>
      <x:c r="P230" s="42" t="str">
        <x:v>above_noi</x:v>
      </x:c>
      <x:c r="Q230" s="42" t="n">
        <x:v>1</x:v>
      </x:c>
      <x:c r="R230" s="51" t="str">
        <x:f>IF(V230="Closed: excluded","",IF(ISNUMBER('STR Build'!P32),'STR Build'!P32,""))</x:f>
      </x:c>
      <x:c r="S230" s="42" t="str">
        <x:v>STR Build!P32</x:v>
      </x:c>
      <x:c r="T230" s="42" t="str">
        <x:v>Formula</x:v>
      </x:c>
      <x:c r="U230" s="67" t="str">
        <x:f>IF(ISNUMBER(R230),IF(R230=0,"Populated zero","Populated"),"Missing")</x:f>
        <x:v>Missing</x:v>
      </x:c>
      <x:c r="V230" s="67" t="str">
        <x:f>IF(AND(ISNUMBER('Drivers'!$D$12),E230&lt;='Drivers'!$D$12),"Closed: excluded","Open forecast")</x:f>
        <x:v>Open forecast</x:v>
      </x:c>
    </x:row>
    <x:row r="231" ht="22" customHeight="1">
      <x:c r="A231" s="42"/>
      <x:c r="B231" s="42"/>
      <x:c r="C231" s="42" t="str">
        <x:f>IF('Drivers'!$D$5="","",'Drivers'!$D$5)</x:f>
      </x:c>
      <x:c r="D231" s="42" t="str">
        <x:f>IF('Drivers'!$D$4="","",'Drivers'!$D$4)</x:f>
      </x:c>
      <x:c r="E231" s="69" t="n">
        <x:f>'STR Build'!P$6</x:f>
        <x:v>46692</x:v>
      </x:c>
      <x:c r="F231" s="42" t="str">
        <x:f>IF('Drivers'!$D$10="","",'Drivers'!$D$10)</x:f>
        <x:v>Working Draft</x:v>
      </x:c>
      <x:c r="G231" s="42" t="str">
        <x:f>IF('GL Mapping'!I11="",'GL Mapping'!C11,'GL Mapping'!I11)</x:f>
        <x:v>419200</x:v>
      </x:c>
      <x:c r="H231" s="42" t="str">
        <x:v>Bad debt</x:v>
      </x:c>
      <x:c r="I231" s="42" t="str">
        <x:f>IF('Drivers'!$D$11="","",'Drivers'!$D$11)</x:f>
        <x:v>Short-Term Rentals</x:v>
      </x:c>
      <x:c r="J231" s="42" t="str">
        <x:f>IF('Drivers'!$D$8="","",'Drivers'!$D$8)</x:f>
        <x:v>USD</x:v>
      </x:c>
      <x:c r="K231" s="42" t="str">
        <x:f>IF('Drivers'!$D$21="","",'Drivers'!$D$21)</x:f>
        <x:v>Calendar</x:v>
      </x:c>
      <x:c r="L231" s="42" t="str">
        <x:f>IF('Drivers'!$D$9="","",'Drivers'!$D$9)</x:f>
        <x:v>Accrual</x:v>
      </x:c>
      <x:c r="M231" s="70" t="str">
        <x:f>IF('Drivers'!$D$12="","",'Drivers'!$D$12)</x:f>
      </x:c>
      <x:c r="N231" s="42" t="str">
        <x:f>IF('Drivers'!$D$15="","",'Drivers'!$D$15)</x:f>
      </x:c>
      <x:c r="O231" s="42" t="str">
        <x:v>contra_income</x:v>
      </x:c>
      <x:c r="P231" s="42" t="str">
        <x:v>above_noi</x:v>
      </x:c>
      <x:c r="Q231" s="42" t="n">
        <x:v>1</x:v>
      </x:c>
      <x:c r="R231" s="51" t="str">
        <x:f>IF(V231="Closed: excluded","",IF(ISNUMBER('STR Build'!P33),'STR Build'!P33,""))</x:f>
      </x:c>
      <x:c r="S231" s="42" t="str">
        <x:v>STR Build!P33</x:v>
      </x:c>
      <x:c r="T231" s="42" t="str">
        <x:v>Formula</x:v>
      </x:c>
      <x:c r="U231" s="67" t="str">
        <x:f>IF(ISNUMBER(R231),IF(R231=0,"Populated zero","Populated"),"Missing")</x:f>
        <x:v>Missing</x:v>
      </x:c>
      <x:c r="V231" s="67" t="str">
        <x:f>IF(AND(ISNUMBER('Drivers'!$D$12),E231&lt;='Drivers'!$D$12),"Closed: excluded","Open forecast")</x:f>
        <x:v>Open forecast</x:v>
      </x:c>
    </x:row>
    <x:row r="232" ht="22" customHeight="1">
      <x:c r="A232" s="42"/>
      <x:c r="B232" s="42"/>
      <x:c r="C232" s="42" t="str">
        <x:f>IF('Drivers'!$D$5="","",'Drivers'!$D$5)</x:f>
      </x:c>
      <x:c r="D232" s="42" t="str">
        <x:f>IF('Drivers'!$D$4="","",'Drivers'!$D$4)</x:f>
      </x:c>
      <x:c r="E232" s="69" t="n">
        <x:f>'STR Build'!P$6</x:f>
        <x:v>46692</x:v>
      </x:c>
      <x:c r="F232" s="42" t="str">
        <x:f>IF('Drivers'!$D$10="","",'Drivers'!$D$10)</x:f>
        <x:v>Working Draft</x:v>
      </x:c>
      <x:c r="G232" s="42" t="str">
        <x:f>IF('GL Mapping'!I12="",'GL Mapping'!C12,'GL Mapping'!I12)</x:f>
        <x:v>610100</x:v>
      </x:c>
      <x:c r="H232" s="42" t="str">
        <x:v>Channel commissions</x:v>
      </x:c>
      <x:c r="I232" s="42" t="str">
        <x:f>IF('Drivers'!$D$11="","",'Drivers'!$D$11)</x:f>
        <x:v>Short-Term Rentals</x:v>
      </x:c>
      <x:c r="J232" s="42" t="str">
        <x:f>IF('Drivers'!$D$8="","",'Drivers'!$D$8)</x:f>
        <x:v>USD</x:v>
      </x:c>
      <x:c r="K232" s="42" t="str">
        <x:f>IF('Drivers'!$D$21="","",'Drivers'!$D$21)</x:f>
        <x:v>Calendar</x:v>
      </x:c>
      <x:c r="L232" s="42" t="str">
        <x:f>IF('Drivers'!$D$9="","",'Drivers'!$D$9)</x:f>
        <x:v>Accrual</x:v>
      </x:c>
      <x:c r="M232" s="70" t="str">
        <x:f>IF('Drivers'!$D$12="","",'Drivers'!$D$12)</x:f>
      </x:c>
      <x:c r="N232" s="42" t="str">
        <x:f>IF('Drivers'!$D$15="","",'Drivers'!$D$15)</x:f>
      </x:c>
      <x:c r="O232" s="42" t="str">
        <x:v>expense</x:v>
      </x:c>
      <x:c r="P232" s="42" t="str">
        <x:v>above_noi</x:v>
      </x:c>
      <x:c r="Q232" s="42" t="n">
        <x:v>1</x:v>
      </x:c>
      <x:c r="R232" s="51" t="str">
        <x:f>IF(V232="Closed: excluded","",IF(ISNUMBER('STR Build'!P36),'STR Build'!P36,""))</x:f>
      </x:c>
      <x:c r="S232" s="42" t="str">
        <x:v>STR Build!P36</x:v>
      </x:c>
      <x:c r="T232" s="42" t="str">
        <x:v>Formula</x:v>
      </x:c>
      <x:c r="U232" s="67" t="str">
        <x:f>IF(ISNUMBER(R232),IF(R232=0,"Populated zero","Populated"),"Missing")</x:f>
        <x:v>Missing</x:v>
      </x:c>
      <x:c r="V232" s="67" t="str">
        <x:f>IF(AND(ISNUMBER('Drivers'!$D$12),E232&lt;='Drivers'!$D$12),"Closed: excluded","Open forecast")</x:f>
        <x:v>Open forecast</x:v>
      </x:c>
    </x:row>
    <x:row r="233" ht="22" customHeight="1">
      <x:c r="A233" s="42"/>
      <x:c r="B233" s="42"/>
      <x:c r="C233" s="42" t="str">
        <x:f>IF('Drivers'!$D$5="","",'Drivers'!$D$5)</x:f>
      </x:c>
      <x:c r="D233" s="42" t="str">
        <x:f>IF('Drivers'!$D$4="","",'Drivers'!$D$4)</x:f>
      </x:c>
      <x:c r="E233" s="69" t="n">
        <x:f>'STR Build'!P$6</x:f>
        <x:v>46692</x:v>
      </x:c>
      <x:c r="F233" s="42" t="str">
        <x:f>IF('Drivers'!$D$10="","",'Drivers'!$D$10)</x:f>
        <x:v>Working Draft</x:v>
      </x:c>
      <x:c r="G233" s="42" t="str">
        <x:f>IF('GL Mapping'!I13="",'GL Mapping'!C13,'GL Mapping'!I13)</x:f>
        <x:v>610200</x:v>
      </x:c>
      <x:c r="H233" s="42" t="str">
        <x:v>Cleaning expense</x:v>
      </x:c>
      <x:c r="I233" s="42" t="str">
        <x:f>IF('Drivers'!$D$11="","",'Drivers'!$D$11)</x:f>
        <x:v>Short-Term Rentals</x:v>
      </x:c>
      <x:c r="J233" s="42" t="str">
        <x:f>IF('Drivers'!$D$8="","",'Drivers'!$D$8)</x:f>
        <x:v>USD</x:v>
      </x:c>
      <x:c r="K233" s="42" t="str">
        <x:f>IF('Drivers'!$D$21="","",'Drivers'!$D$21)</x:f>
        <x:v>Calendar</x:v>
      </x:c>
      <x:c r="L233" s="42" t="str">
        <x:f>IF('Drivers'!$D$9="","",'Drivers'!$D$9)</x:f>
        <x:v>Accrual</x:v>
      </x:c>
      <x:c r="M233" s="70" t="str">
        <x:f>IF('Drivers'!$D$12="","",'Drivers'!$D$12)</x:f>
      </x:c>
      <x:c r="N233" s="42" t="str">
        <x:f>IF('Drivers'!$D$15="","",'Drivers'!$D$15)</x:f>
      </x:c>
      <x:c r="O233" s="42" t="str">
        <x:v>expense</x:v>
      </x:c>
      <x:c r="P233" s="42" t="str">
        <x:v>above_noi</x:v>
      </x:c>
      <x:c r="Q233" s="42" t="n">
        <x:v>1</x:v>
      </x:c>
      <x:c r="R233" s="51" t="str">
        <x:f>IF(V233="Closed: excluded","",IF(ISNUMBER('STR Build'!P37),'STR Build'!P37,""))</x:f>
      </x:c>
      <x:c r="S233" s="42" t="str">
        <x:v>STR Build!P37</x:v>
      </x:c>
      <x:c r="T233" s="42" t="str">
        <x:v>Formula</x:v>
      </x:c>
      <x:c r="U233" s="67" t="str">
        <x:f>IF(ISNUMBER(R233),IF(R233=0,"Populated zero","Populated"),"Missing")</x:f>
        <x:v>Missing</x:v>
      </x:c>
      <x:c r="V233" s="67" t="str">
        <x:f>IF(AND(ISNUMBER('Drivers'!$D$12),E233&lt;='Drivers'!$D$12),"Closed: excluded","Open forecast")</x:f>
        <x:v>Open forecast</x:v>
      </x:c>
    </x:row>
    <x:row r="234" ht="22" customHeight="1">
      <x:c r="A234" s="42"/>
      <x:c r="B234" s="42"/>
      <x:c r="C234" s="42" t="str">
        <x:f>IF('Drivers'!$D$5="","",'Drivers'!$D$5)</x:f>
      </x:c>
      <x:c r="D234" s="42" t="str">
        <x:f>IF('Drivers'!$D$4="","",'Drivers'!$D$4)</x:f>
      </x:c>
      <x:c r="E234" s="69" t="n">
        <x:f>'STR Build'!P$6</x:f>
        <x:v>46692</x:v>
      </x:c>
      <x:c r="F234" s="42" t="str">
        <x:f>IF('Drivers'!$D$10="","",'Drivers'!$D$10)</x:f>
        <x:v>Working Draft</x:v>
      </x:c>
      <x:c r="G234" s="42" t="str">
        <x:f>IF('GL Mapping'!I14="",'GL Mapping'!C14,'GL Mapping'!I14)</x:f>
        <x:v>610300</x:v>
      </x:c>
      <x:c r="H234" s="42" t="str">
        <x:v>Property-borne lodging tax</x:v>
      </x:c>
      <x:c r="I234" s="42" t="str">
        <x:f>IF('Drivers'!$D$11="","",'Drivers'!$D$11)</x:f>
        <x:v>Short-Term Rentals</x:v>
      </x:c>
      <x:c r="J234" s="42" t="str">
        <x:f>IF('Drivers'!$D$8="","",'Drivers'!$D$8)</x:f>
        <x:v>USD</x:v>
      </x:c>
      <x:c r="K234" s="42" t="str">
        <x:f>IF('Drivers'!$D$21="","",'Drivers'!$D$21)</x:f>
        <x:v>Calendar</x:v>
      </x:c>
      <x:c r="L234" s="42" t="str">
        <x:f>IF('Drivers'!$D$9="","",'Drivers'!$D$9)</x:f>
        <x:v>Accrual</x:v>
      </x:c>
      <x:c r="M234" s="70" t="str">
        <x:f>IF('Drivers'!$D$12="","",'Drivers'!$D$12)</x:f>
      </x:c>
      <x:c r="N234" s="42" t="str">
        <x:f>IF('Drivers'!$D$15="","",'Drivers'!$D$15)</x:f>
      </x:c>
      <x:c r="O234" s="42" t="str">
        <x:v>expense</x:v>
      </x:c>
      <x:c r="P234" s="42" t="str">
        <x:v>above_noi</x:v>
      </x:c>
      <x:c r="Q234" s="42" t="n">
        <x:v>1</x:v>
      </x:c>
      <x:c r="R234" s="51" t="str">
        <x:f>IF(V234="Closed: excluded","",IF(ISNUMBER('STR Build'!P38),'STR Build'!P38,""))</x:f>
      </x:c>
      <x:c r="S234" s="42" t="str">
        <x:v>STR Build!P38</x:v>
      </x:c>
      <x:c r="T234" s="42" t="str">
        <x:v>Formula</x:v>
      </x:c>
      <x:c r="U234" s="67" t="str">
        <x:f>IF(ISNUMBER(R234),IF(R234=0,"Populated zero","Populated"),"Missing")</x:f>
        <x:v>Missing</x:v>
      </x:c>
      <x:c r="V234" s="67" t="str">
        <x:f>IF(AND(ISNUMBER('Drivers'!$D$12),E234&lt;='Drivers'!$D$12),"Closed: excluded","Open forecast")</x:f>
        <x:v>Open forecast</x:v>
      </x:c>
    </x:row>
    <x:row r="235" ht="22" customHeight="1">
      <x:c r="A235" s="42"/>
      <x:c r="B235" s="42"/>
      <x:c r="C235" s="42" t="str">
        <x:f>IF('Drivers'!$D$5="","",'Drivers'!$D$5)</x:f>
      </x:c>
      <x:c r="D235" s="42" t="str">
        <x:f>IF('Drivers'!$D$4="","",'Drivers'!$D$4)</x:f>
      </x:c>
      <x:c r="E235" s="69" t="n">
        <x:f>'STR Build'!P$6</x:f>
        <x:v>46692</x:v>
      </x:c>
      <x:c r="F235" s="42" t="str">
        <x:f>IF('Drivers'!$D$10="","",'Drivers'!$D$10)</x:f>
        <x:v>Working Draft</x:v>
      </x:c>
      <x:c r="G235" s="42" t="str">
        <x:f>IF('GL Mapping'!I15="",'GL Mapping'!C15,'GL Mapping'!I15)</x:f>
        <x:v>610400</x:v>
      </x:c>
      <x:c r="H235" s="42" t="str">
        <x:v>Supplies</x:v>
      </x:c>
      <x:c r="I235" s="42" t="str">
        <x:f>IF('Drivers'!$D$11="","",'Drivers'!$D$11)</x:f>
        <x:v>Short-Term Rentals</x:v>
      </x:c>
      <x:c r="J235" s="42" t="str">
        <x:f>IF('Drivers'!$D$8="","",'Drivers'!$D$8)</x:f>
        <x:v>USD</x:v>
      </x:c>
      <x:c r="K235" s="42" t="str">
        <x:f>IF('Drivers'!$D$21="","",'Drivers'!$D$21)</x:f>
        <x:v>Calendar</x:v>
      </x:c>
      <x:c r="L235" s="42" t="str">
        <x:f>IF('Drivers'!$D$9="","",'Drivers'!$D$9)</x:f>
        <x:v>Accrual</x:v>
      </x:c>
      <x:c r="M235" s="70" t="str">
        <x:f>IF('Drivers'!$D$12="","",'Drivers'!$D$12)</x:f>
      </x:c>
      <x:c r="N235" s="42" t="str">
        <x:f>IF('Drivers'!$D$15="","",'Drivers'!$D$15)</x:f>
      </x:c>
      <x:c r="O235" s="42" t="str">
        <x:v>expense</x:v>
      </x:c>
      <x:c r="P235" s="42" t="str">
        <x:v>above_noi</x:v>
      </x:c>
      <x:c r="Q235" s="42" t="n">
        <x:v>1</x:v>
      </x:c>
      <x:c r="R235" s="51" t="str">
        <x:f>IF(V235="Closed: excluded","",IF(ISNUMBER('STR Build'!P39),'STR Build'!P39,""))</x:f>
      </x:c>
      <x:c r="S235" s="42" t="str">
        <x:v>STR Build!P39</x:v>
      </x:c>
      <x:c r="T235" s="42" t="str">
        <x:v>Formula</x:v>
      </x:c>
      <x:c r="U235" s="67" t="str">
        <x:f>IF(ISNUMBER(R235),IF(R235=0,"Populated zero","Populated"),"Missing")</x:f>
        <x:v>Missing</x:v>
      </x:c>
      <x:c r="V235" s="67" t="str">
        <x:f>IF(AND(ISNUMBER('Drivers'!$D$12),E235&lt;='Drivers'!$D$12),"Closed: excluded","Open forecast")</x:f>
        <x:v>Open forecast</x:v>
      </x:c>
    </x:row>
    <x:row r="236" ht="22" customHeight="1">
      <x:c r="A236" s="42"/>
      <x:c r="B236" s="42"/>
      <x:c r="C236" s="42" t="str">
        <x:f>IF('Drivers'!$D$5="","",'Drivers'!$D$5)</x:f>
      </x:c>
      <x:c r="D236" s="42" t="str">
        <x:f>IF('Drivers'!$D$4="","",'Drivers'!$D$4)</x:f>
      </x:c>
      <x:c r="E236" s="69" t="n">
        <x:f>'STR Build'!P$6</x:f>
        <x:v>46692</x:v>
      </x:c>
      <x:c r="F236" s="42" t="str">
        <x:f>IF('Drivers'!$D$10="","",'Drivers'!$D$10)</x:f>
        <x:v>Working Draft</x:v>
      </x:c>
      <x:c r="G236" s="42" t="str">
        <x:f>IF('GL Mapping'!I16="",'GL Mapping'!C16,'GL Mapping'!I16)</x:f>
        <x:v>620100</x:v>
      </x:c>
      <x:c r="H236" s="42" t="str">
        <x:v>Payroll</x:v>
      </x:c>
      <x:c r="I236" s="42" t="str">
        <x:f>IF('Drivers'!$D$11="","",'Drivers'!$D$11)</x:f>
        <x:v>Short-Term Rentals</x:v>
      </x:c>
      <x:c r="J236" s="42" t="str">
        <x:f>IF('Drivers'!$D$8="","",'Drivers'!$D$8)</x:f>
        <x:v>USD</x:v>
      </x:c>
      <x:c r="K236" s="42" t="str">
        <x:f>IF('Drivers'!$D$21="","",'Drivers'!$D$21)</x:f>
        <x:v>Calendar</x:v>
      </x:c>
      <x:c r="L236" s="42" t="str">
        <x:f>IF('Drivers'!$D$9="","",'Drivers'!$D$9)</x:f>
        <x:v>Accrual</x:v>
      </x:c>
      <x:c r="M236" s="70" t="str">
        <x:f>IF('Drivers'!$D$12="","",'Drivers'!$D$12)</x:f>
      </x:c>
      <x:c r="N236" s="42" t="str">
        <x:f>IF('Drivers'!$D$15="","",'Drivers'!$D$15)</x:f>
      </x:c>
      <x:c r="O236" s="42" t="str">
        <x:v>expense</x:v>
      </x:c>
      <x:c r="P236" s="42" t="str">
        <x:v>above_noi</x:v>
      </x:c>
      <x:c r="Q236" s="42" t="n">
        <x:v>1</x:v>
      </x:c>
      <x:c r="R236" s="51" t="str">
        <x:f>IF(V236="Closed: excluded","",IF(ISNUMBER('STR Build'!P40),'STR Build'!P40,""))</x:f>
      </x:c>
      <x:c r="S236" s="42" t="str">
        <x:v>STR Build!P40</x:v>
      </x:c>
      <x:c r="T236" s="42" t="str">
        <x:v>Formula</x:v>
      </x:c>
      <x:c r="U236" s="67" t="str">
        <x:f>IF(ISNUMBER(R236),IF(R236=0,"Populated zero","Populated"),"Missing")</x:f>
        <x:v>Missing</x:v>
      </x:c>
      <x:c r="V236" s="67" t="str">
        <x:f>IF(AND(ISNUMBER('Drivers'!$D$12),E236&lt;='Drivers'!$D$12),"Closed: excluded","Open forecast")</x:f>
        <x:v>Open forecast</x:v>
      </x:c>
    </x:row>
    <x:row r="237" ht="22" customHeight="1">
      <x:c r="A237" s="42"/>
      <x:c r="B237" s="42"/>
      <x:c r="C237" s="42" t="str">
        <x:f>IF('Drivers'!$D$5="","",'Drivers'!$D$5)</x:f>
      </x:c>
      <x:c r="D237" s="42" t="str">
        <x:f>IF('Drivers'!$D$4="","",'Drivers'!$D$4)</x:f>
      </x:c>
      <x:c r="E237" s="69" t="n">
        <x:f>'STR Build'!P$6</x:f>
        <x:v>46692</x:v>
      </x:c>
      <x:c r="F237" s="42" t="str">
        <x:f>IF('Drivers'!$D$10="","",'Drivers'!$D$10)</x:f>
        <x:v>Working Draft</x:v>
      </x:c>
      <x:c r="G237" s="42" t="str">
        <x:f>IF('GL Mapping'!I17="",'GL Mapping'!C17,'GL Mapping'!I17)</x:f>
        <x:v>630100</x:v>
      </x:c>
      <x:c r="H237" s="42" t="str">
        <x:v>Utilities</x:v>
      </x:c>
      <x:c r="I237" s="42" t="str">
        <x:f>IF('Drivers'!$D$11="","",'Drivers'!$D$11)</x:f>
        <x:v>Short-Term Rentals</x:v>
      </x:c>
      <x:c r="J237" s="42" t="str">
        <x:f>IF('Drivers'!$D$8="","",'Drivers'!$D$8)</x:f>
        <x:v>USD</x:v>
      </x:c>
      <x:c r="K237" s="42" t="str">
        <x:f>IF('Drivers'!$D$21="","",'Drivers'!$D$21)</x:f>
        <x:v>Calendar</x:v>
      </x:c>
      <x:c r="L237" s="42" t="str">
        <x:f>IF('Drivers'!$D$9="","",'Drivers'!$D$9)</x:f>
        <x:v>Accrual</x:v>
      </x:c>
      <x:c r="M237" s="70" t="str">
        <x:f>IF('Drivers'!$D$12="","",'Drivers'!$D$12)</x:f>
      </x:c>
      <x:c r="N237" s="42" t="str">
        <x:f>IF('Drivers'!$D$15="","",'Drivers'!$D$15)</x:f>
      </x:c>
      <x:c r="O237" s="42" t="str">
        <x:v>expense</x:v>
      </x:c>
      <x:c r="P237" s="42" t="str">
        <x:v>above_noi</x:v>
      </x:c>
      <x:c r="Q237" s="42" t="n">
        <x:v>1</x:v>
      </x:c>
      <x:c r="R237" s="51" t="str">
        <x:f>IF(V237="Closed: excluded","",IF(ISNUMBER('STR Build'!P41),'STR Build'!P41,""))</x:f>
      </x:c>
      <x:c r="S237" s="42" t="str">
        <x:v>STR Build!P41</x:v>
      </x:c>
      <x:c r="T237" s="42" t="str">
        <x:v>Formula</x:v>
      </x:c>
      <x:c r="U237" s="67" t="str">
        <x:f>IF(ISNUMBER(R237),IF(R237=0,"Populated zero","Populated"),"Missing")</x:f>
        <x:v>Missing</x:v>
      </x:c>
      <x:c r="V237" s="67" t="str">
        <x:f>IF(AND(ISNUMBER('Drivers'!$D$12),E237&lt;='Drivers'!$D$12),"Closed: excluded","Open forecast")</x:f>
        <x:v>Open forecast</x:v>
      </x:c>
    </x:row>
    <x:row r="238" ht="22" customHeight="1">
      <x:c r="A238" s="42"/>
      <x:c r="B238" s="42"/>
      <x:c r="C238" s="42" t="str">
        <x:f>IF('Drivers'!$D$5="","",'Drivers'!$D$5)</x:f>
      </x:c>
      <x:c r="D238" s="42" t="str">
        <x:f>IF('Drivers'!$D$4="","",'Drivers'!$D$4)</x:f>
      </x:c>
      <x:c r="E238" s="69" t="n">
        <x:f>'STR Build'!P$6</x:f>
        <x:v>46692</x:v>
      </x:c>
      <x:c r="F238" s="42" t="str">
        <x:f>IF('Drivers'!$D$10="","",'Drivers'!$D$10)</x:f>
        <x:v>Working Draft</x:v>
      </x:c>
      <x:c r="G238" s="42" t="str">
        <x:f>IF('GL Mapping'!I18="",'GL Mapping'!C18,'GL Mapping'!I18)</x:f>
        <x:v>640100</x:v>
      </x:c>
      <x:c r="H238" s="42" t="str">
        <x:v>Contracts</x:v>
      </x:c>
      <x:c r="I238" s="42" t="str">
        <x:f>IF('Drivers'!$D$11="","",'Drivers'!$D$11)</x:f>
        <x:v>Short-Term Rentals</x:v>
      </x:c>
      <x:c r="J238" s="42" t="str">
        <x:f>IF('Drivers'!$D$8="","",'Drivers'!$D$8)</x:f>
        <x:v>USD</x:v>
      </x:c>
      <x:c r="K238" s="42" t="str">
        <x:f>IF('Drivers'!$D$21="","",'Drivers'!$D$21)</x:f>
        <x:v>Calendar</x:v>
      </x:c>
      <x:c r="L238" s="42" t="str">
        <x:f>IF('Drivers'!$D$9="","",'Drivers'!$D$9)</x:f>
        <x:v>Accrual</x:v>
      </x:c>
      <x:c r="M238" s="70" t="str">
        <x:f>IF('Drivers'!$D$12="","",'Drivers'!$D$12)</x:f>
      </x:c>
      <x:c r="N238" s="42" t="str">
        <x:f>IF('Drivers'!$D$15="","",'Drivers'!$D$15)</x:f>
      </x:c>
      <x:c r="O238" s="42" t="str">
        <x:v>expense</x:v>
      </x:c>
      <x:c r="P238" s="42" t="str">
        <x:v>above_noi</x:v>
      </x:c>
      <x:c r="Q238" s="42" t="n">
        <x:v>1</x:v>
      </x:c>
      <x:c r="R238" s="51" t="str">
        <x:f>IF(V238="Closed: excluded","",IF(ISNUMBER('STR Build'!P42),'STR Build'!P42,""))</x:f>
      </x:c>
      <x:c r="S238" s="42" t="str">
        <x:v>STR Build!P42</x:v>
      </x:c>
      <x:c r="T238" s="42" t="str">
        <x:v>Formula</x:v>
      </x:c>
      <x:c r="U238" s="67" t="str">
        <x:f>IF(ISNUMBER(R238),IF(R238=0,"Populated zero","Populated"),"Missing")</x:f>
        <x:v>Missing</x:v>
      </x:c>
      <x:c r="V238" s="67" t="str">
        <x:f>IF(AND(ISNUMBER('Drivers'!$D$12),E238&lt;='Drivers'!$D$12),"Closed: excluded","Open forecast")</x:f>
        <x:v>Open forecast</x:v>
      </x:c>
    </x:row>
    <x:row r="239" ht="22" customHeight="1">
      <x:c r="A239" s="42"/>
      <x:c r="B239" s="42"/>
      <x:c r="C239" s="42" t="str">
        <x:f>IF('Drivers'!$D$5="","",'Drivers'!$D$5)</x:f>
      </x:c>
      <x:c r="D239" s="42" t="str">
        <x:f>IF('Drivers'!$D$4="","",'Drivers'!$D$4)</x:f>
      </x:c>
      <x:c r="E239" s="69" t="n">
        <x:f>'STR Build'!P$6</x:f>
        <x:v>46692</x:v>
      </x:c>
      <x:c r="F239" s="42" t="str">
        <x:f>IF('Drivers'!$D$10="","",'Drivers'!$D$10)</x:f>
        <x:v>Working Draft</x:v>
      </x:c>
      <x:c r="G239" s="42" t="str">
        <x:f>IF('GL Mapping'!I19="",'GL Mapping'!C19,'GL Mapping'!I19)</x:f>
        <x:v>650100</x:v>
      </x:c>
      <x:c r="H239" s="42" t="str">
        <x:v>Marketing</x:v>
      </x:c>
      <x:c r="I239" s="42" t="str">
        <x:f>IF('Drivers'!$D$11="","",'Drivers'!$D$11)</x:f>
        <x:v>Short-Term Rentals</x:v>
      </x:c>
      <x:c r="J239" s="42" t="str">
        <x:f>IF('Drivers'!$D$8="","",'Drivers'!$D$8)</x:f>
        <x:v>USD</x:v>
      </x:c>
      <x:c r="K239" s="42" t="str">
        <x:f>IF('Drivers'!$D$21="","",'Drivers'!$D$21)</x:f>
        <x:v>Calendar</x:v>
      </x:c>
      <x:c r="L239" s="42" t="str">
        <x:f>IF('Drivers'!$D$9="","",'Drivers'!$D$9)</x:f>
        <x:v>Accrual</x:v>
      </x:c>
      <x:c r="M239" s="70" t="str">
        <x:f>IF('Drivers'!$D$12="","",'Drivers'!$D$12)</x:f>
      </x:c>
      <x:c r="N239" s="42" t="str">
        <x:f>IF('Drivers'!$D$15="","",'Drivers'!$D$15)</x:f>
      </x:c>
      <x:c r="O239" s="42" t="str">
        <x:v>expense</x:v>
      </x:c>
      <x:c r="P239" s="42" t="str">
        <x:v>above_noi</x:v>
      </x:c>
      <x:c r="Q239" s="42" t="n">
        <x:v>1</x:v>
      </x:c>
      <x:c r="R239" s="51" t="str">
        <x:f>IF(V239="Closed: excluded","",IF(ISNUMBER('STR Build'!P43),'STR Build'!P43,""))</x:f>
      </x:c>
      <x:c r="S239" s="42" t="str">
        <x:v>STR Build!P43</x:v>
      </x:c>
      <x:c r="T239" s="42" t="str">
        <x:v>Formula</x:v>
      </x:c>
      <x:c r="U239" s="67" t="str">
        <x:f>IF(ISNUMBER(R239),IF(R239=0,"Populated zero","Populated"),"Missing")</x:f>
        <x:v>Missing</x:v>
      </x:c>
      <x:c r="V239" s="67" t="str">
        <x:f>IF(AND(ISNUMBER('Drivers'!$D$12),E239&lt;='Drivers'!$D$12),"Closed: excluded","Open forecast")</x:f>
        <x:v>Open forecast</x:v>
      </x:c>
    </x:row>
    <x:row r="240" ht="22" customHeight="1">
      <x:c r="A240" s="42"/>
      <x:c r="B240" s="42"/>
      <x:c r="C240" s="42" t="str">
        <x:f>IF('Drivers'!$D$5="","",'Drivers'!$D$5)</x:f>
      </x:c>
      <x:c r="D240" s="42" t="str">
        <x:f>IF('Drivers'!$D$4="","",'Drivers'!$D$4)</x:f>
      </x:c>
      <x:c r="E240" s="69" t="n">
        <x:f>'STR Build'!P$6</x:f>
        <x:v>46692</x:v>
      </x:c>
      <x:c r="F240" s="42" t="str">
        <x:f>IF('Drivers'!$D$10="","",'Drivers'!$D$10)</x:f>
        <x:v>Working Draft</x:v>
      </x:c>
      <x:c r="G240" s="42" t="str">
        <x:f>IF('GL Mapping'!I20="",'GL Mapping'!C20,'GL Mapping'!I20)</x:f>
        <x:v>660100</x:v>
      </x:c>
      <x:c r="H240" s="42" t="str">
        <x:v>Maintenance</x:v>
      </x:c>
      <x:c r="I240" s="42" t="str">
        <x:f>IF('Drivers'!$D$11="","",'Drivers'!$D$11)</x:f>
        <x:v>Short-Term Rentals</x:v>
      </x:c>
      <x:c r="J240" s="42" t="str">
        <x:f>IF('Drivers'!$D$8="","",'Drivers'!$D$8)</x:f>
        <x:v>USD</x:v>
      </x:c>
      <x:c r="K240" s="42" t="str">
        <x:f>IF('Drivers'!$D$21="","",'Drivers'!$D$21)</x:f>
        <x:v>Calendar</x:v>
      </x:c>
      <x:c r="L240" s="42" t="str">
        <x:f>IF('Drivers'!$D$9="","",'Drivers'!$D$9)</x:f>
        <x:v>Accrual</x:v>
      </x:c>
      <x:c r="M240" s="70" t="str">
        <x:f>IF('Drivers'!$D$12="","",'Drivers'!$D$12)</x:f>
      </x:c>
      <x:c r="N240" s="42" t="str">
        <x:f>IF('Drivers'!$D$15="","",'Drivers'!$D$15)</x:f>
      </x:c>
      <x:c r="O240" s="42" t="str">
        <x:v>expense</x:v>
      </x:c>
      <x:c r="P240" s="42" t="str">
        <x:v>above_noi</x:v>
      </x:c>
      <x:c r="Q240" s="42" t="n">
        <x:v>1</x:v>
      </x:c>
      <x:c r="R240" s="51" t="str">
        <x:f>IF(V240="Closed: excluded","",IF(ISNUMBER('STR Build'!P44),'STR Build'!P44,""))</x:f>
      </x:c>
      <x:c r="S240" s="42" t="str">
        <x:v>STR Build!P44</x:v>
      </x:c>
      <x:c r="T240" s="42" t="str">
        <x:v>Formula</x:v>
      </x:c>
      <x:c r="U240" s="67" t="str">
        <x:f>IF(ISNUMBER(R240),IF(R240=0,"Populated zero","Populated"),"Missing")</x:f>
        <x:v>Missing</x:v>
      </x:c>
      <x:c r="V240" s="67" t="str">
        <x:f>IF(AND(ISNUMBER('Drivers'!$D$12),E240&lt;='Drivers'!$D$12),"Closed: excluded","Open forecast")</x:f>
        <x:v>Open forecast</x:v>
      </x:c>
    </x:row>
    <x:row r="241" ht="22" customHeight="1">
      <x:c r="A241" s="42"/>
      <x:c r="B241" s="42"/>
      <x:c r="C241" s="42" t="str">
        <x:f>IF('Drivers'!$D$5="","",'Drivers'!$D$5)</x:f>
      </x:c>
      <x:c r="D241" s="42" t="str">
        <x:f>IF('Drivers'!$D$4="","",'Drivers'!$D$4)</x:f>
      </x:c>
      <x:c r="E241" s="69" t="n">
        <x:f>'STR Build'!P$6</x:f>
        <x:v>46692</x:v>
      </x:c>
      <x:c r="F241" s="42" t="str">
        <x:f>IF('Drivers'!$D$10="","",'Drivers'!$D$10)</x:f>
        <x:v>Working Draft</x:v>
      </x:c>
      <x:c r="G241" s="42" t="str">
        <x:f>IF('GL Mapping'!I21="",'GL Mapping'!C21,'GL Mapping'!I21)</x:f>
        <x:v>670100</x:v>
      </x:c>
      <x:c r="H241" s="42" t="str">
        <x:v>Insurance</x:v>
      </x:c>
      <x:c r="I241" s="42" t="str">
        <x:f>IF('Drivers'!$D$11="","",'Drivers'!$D$11)</x:f>
        <x:v>Short-Term Rentals</x:v>
      </x:c>
      <x:c r="J241" s="42" t="str">
        <x:f>IF('Drivers'!$D$8="","",'Drivers'!$D$8)</x:f>
        <x:v>USD</x:v>
      </x:c>
      <x:c r="K241" s="42" t="str">
        <x:f>IF('Drivers'!$D$21="","",'Drivers'!$D$21)</x:f>
        <x:v>Calendar</x:v>
      </x:c>
      <x:c r="L241" s="42" t="str">
        <x:f>IF('Drivers'!$D$9="","",'Drivers'!$D$9)</x:f>
        <x:v>Accrual</x:v>
      </x:c>
      <x:c r="M241" s="70" t="str">
        <x:f>IF('Drivers'!$D$12="","",'Drivers'!$D$12)</x:f>
      </x:c>
      <x:c r="N241" s="42" t="str">
        <x:f>IF('Drivers'!$D$15="","",'Drivers'!$D$15)</x:f>
      </x:c>
      <x:c r="O241" s="42" t="str">
        <x:v>expense</x:v>
      </x:c>
      <x:c r="P241" s="42" t="str">
        <x:v>above_noi</x:v>
      </x:c>
      <x:c r="Q241" s="42" t="n">
        <x:v>1</x:v>
      </x:c>
      <x:c r="R241" s="51" t="str">
        <x:f>IF(V241="Closed: excluded","",IF(ISNUMBER('STR Build'!P45),'STR Build'!P45,""))</x:f>
      </x:c>
      <x:c r="S241" s="42" t="str">
        <x:v>STR Build!P45</x:v>
      </x:c>
      <x:c r="T241" s="42" t="str">
        <x:v>Formula</x:v>
      </x:c>
      <x:c r="U241" s="67" t="str">
        <x:f>IF(ISNUMBER(R241),IF(R241=0,"Populated zero","Populated"),"Missing")</x:f>
        <x:v>Missing</x:v>
      </x:c>
      <x:c r="V241" s="67" t="str">
        <x:f>IF(AND(ISNUMBER('Drivers'!$D$12),E241&lt;='Drivers'!$D$12),"Closed: excluded","Open forecast")</x:f>
        <x:v>Open forecast</x:v>
      </x:c>
    </x:row>
    <x:row r="242" ht="22" customHeight="1">
      <x:c r="A242" s="42"/>
      <x:c r="B242" s="42"/>
      <x:c r="C242" s="42" t="str">
        <x:f>IF('Drivers'!$D$5="","",'Drivers'!$D$5)</x:f>
      </x:c>
      <x:c r="D242" s="42" t="str">
        <x:f>IF('Drivers'!$D$4="","",'Drivers'!$D$4)</x:f>
      </x:c>
      <x:c r="E242" s="69" t="n">
        <x:f>'STR Build'!P$6</x:f>
        <x:v>46692</x:v>
      </x:c>
      <x:c r="F242" s="42" t="str">
        <x:f>IF('Drivers'!$D$10="","",'Drivers'!$D$10)</x:f>
        <x:v>Working Draft</x:v>
      </x:c>
      <x:c r="G242" s="42" t="str">
        <x:f>IF('GL Mapping'!I22="",'GL Mapping'!C22,'GL Mapping'!I22)</x:f>
        <x:v>680100</x:v>
      </x:c>
      <x:c r="H242" s="42" t="str">
        <x:v>Property taxes</x:v>
      </x:c>
      <x:c r="I242" s="42" t="str">
        <x:f>IF('Drivers'!$D$11="","",'Drivers'!$D$11)</x:f>
        <x:v>Short-Term Rentals</x:v>
      </x:c>
      <x:c r="J242" s="42" t="str">
        <x:f>IF('Drivers'!$D$8="","",'Drivers'!$D$8)</x:f>
        <x:v>USD</x:v>
      </x:c>
      <x:c r="K242" s="42" t="str">
        <x:f>IF('Drivers'!$D$21="","",'Drivers'!$D$21)</x:f>
        <x:v>Calendar</x:v>
      </x:c>
      <x:c r="L242" s="42" t="str">
        <x:f>IF('Drivers'!$D$9="","",'Drivers'!$D$9)</x:f>
        <x:v>Accrual</x:v>
      </x:c>
      <x:c r="M242" s="70" t="str">
        <x:f>IF('Drivers'!$D$12="","",'Drivers'!$D$12)</x:f>
      </x:c>
      <x:c r="N242" s="42" t="str">
        <x:f>IF('Drivers'!$D$15="","",'Drivers'!$D$15)</x:f>
      </x:c>
      <x:c r="O242" s="42" t="str">
        <x:v>expense</x:v>
      </x:c>
      <x:c r="P242" s="42" t="str">
        <x:v>above_noi</x:v>
      </x:c>
      <x:c r="Q242" s="42" t="n">
        <x:v>1</x:v>
      </x:c>
      <x:c r="R242" s="51" t="str">
        <x:f>IF(V242="Closed: excluded","",IF(ISNUMBER('STR Build'!P46),'STR Build'!P46,""))</x:f>
      </x:c>
      <x:c r="S242" s="42" t="str">
        <x:v>STR Build!P46</x:v>
      </x:c>
      <x:c r="T242" s="42" t="str">
        <x:v>Formula</x:v>
      </x:c>
      <x:c r="U242" s="67" t="str">
        <x:f>IF(ISNUMBER(R242),IF(R242=0,"Populated zero","Populated"),"Missing")</x:f>
        <x:v>Missing</x:v>
      </x:c>
      <x:c r="V242" s="67" t="str">
        <x:f>IF(AND(ISNUMBER('Drivers'!$D$12),E242&lt;='Drivers'!$D$12),"Closed: excluded","Open forecast")</x:f>
        <x:v>Open forecast</x:v>
      </x:c>
    </x:row>
    <x:row r="243" ht="22" customHeight="1">
      <x:c r="A243" s="42"/>
      <x:c r="B243" s="42"/>
      <x:c r="C243" s="42" t="str">
        <x:f>IF('Drivers'!$D$5="","",'Drivers'!$D$5)</x:f>
      </x:c>
      <x:c r="D243" s="42" t="str">
        <x:f>IF('Drivers'!$D$4="","",'Drivers'!$D$4)</x:f>
      </x:c>
      <x:c r="E243" s="69" t="n">
        <x:f>'STR Build'!P$6</x:f>
        <x:v>46692</x:v>
      </x:c>
      <x:c r="F243" s="42" t="str">
        <x:f>IF('Drivers'!$D$10="","",'Drivers'!$D$10)</x:f>
        <x:v>Working Draft</x:v>
      </x:c>
      <x:c r="G243" s="42" t="str">
        <x:f>IF('GL Mapping'!I23="",'GL Mapping'!C23,'GL Mapping'!I23)</x:f>
        <x:v>690100</x:v>
      </x:c>
      <x:c r="H243" s="42" t="str">
        <x:v>Other operating expenses</x:v>
      </x:c>
      <x:c r="I243" s="42" t="str">
        <x:f>IF('Drivers'!$D$11="","",'Drivers'!$D$11)</x:f>
        <x:v>Short-Term Rentals</x:v>
      </x:c>
      <x:c r="J243" s="42" t="str">
        <x:f>IF('Drivers'!$D$8="","",'Drivers'!$D$8)</x:f>
        <x:v>USD</x:v>
      </x:c>
      <x:c r="K243" s="42" t="str">
        <x:f>IF('Drivers'!$D$21="","",'Drivers'!$D$21)</x:f>
        <x:v>Calendar</x:v>
      </x:c>
      <x:c r="L243" s="42" t="str">
        <x:f>IF('Drivers'!$D$9="","",'Drivers'!$D$9)</x:f>
        <x:v>Accrual</x:v>
      </x:c>
      <x:c r="M243" s="70" t="str">
        <x:f>IF('Drivers'!$D$12="","",'Drivers'!$D$12)</x:f>
      </x:c>
      <x:c r="N243" s="42" t="str">
        <x:f>IF('Drivers'!$D$15="","",'Drivers'!$D$15)</x:f>
      </x:c>
      <x:c r="O243" s="42" t="str">
        <x:v>expense</x:v>
      </x:c>
      <x:c r="P243" s="42" t="str">
        <x:v>above_noi</x:v>
      </x:c>
      <x:c r="Q243" s="42" t="n">
        <x:v>1</x:v>
      </x:c>
      <x:c r="R243" s="51" t="str">
        <x:f>IF(V243="Closed: excluded","",IF(ISNUMBER('STR Build'!P47),'STR Build'!P47,""))</x:f>
      </x:c>
      <x:c r="S243" s="42" t="str">
        <x:v>STR Build!P47</x:v>
      </x:c>
      <x:c r="T243" s="42" t="str">
        <x:v>Formula</x:v>
      </x:c>
      <x:c r="U243" s="67" t="str">
        <x:f>IF(ISNUMBER(R243),IF(R243=0,"Populated zero","Populated"),"Missing")</x:f>
        <x:v>Missing</x:v>
      </x:c>
      <x:c r="V243" s="67" t="str">
        <x:f>IF(AND(ISNUMBER('Drivers'!$D$12),E243&lt;='Drivers'!$D$12),"Closed: excluded","Open forecast")</x:f>
        <x:v>Open forecast</x:v>
      </x:c>
    </x:row>
    <x:row r="244" ht="22" customHeight="1">
      <x:c r="A244" s="42"/>
      <x:c r="B244" s="42"/>
      <x:c r="C244" s="42" t="str">
        <x:f>IF('Drivers'!$D$5="","",'Drivers'!$D$5)</x:f>
      </x:c>
      <x:c r="D244" s="42" t="str">
        <x:f>IF('Drivers'!$D$4="","",'Drivers'!$D$4)</x:f>
      </x:c>
      <x:c r="E244" s="69" t="n">
        <x:f>'STR Build'!P$6</x:f>
        <x:v>46692</x:v>
      </x:c>
      <x:c r="F244" s="42" t="str">
        <x:f>IF('Drivers'!$D$10="","",'Drivers'!$D$10)</x:f>
        <x:v>Working Draft</x:v>
      </x:c>
      <x:c r="G244" s="42" t="str">
        <x:f>IF('GL Mapping'!I24="",'GL Mapping'!C24,'GL Mapping'!I24)</x:f>
        <x:v>710100</x:v>
      </x:c>
      <x:c r="H244" s="42" t="str">
        <x:v>Other below-NOI cash costs</x:v>
      </x:c>
      <x:c r="I244" s="42" t="str">
        <x:f>IF('Drivers'!$D$11="","",'Drivers'!$D$11)</x:f>
        <x:v>Short-Term Rentals</x:v>
      </x:c>
      <x:c r="J244" s="42" t="str">
        <x:f>IF('Drivers'!$D$8="","",'Drivers'!$D$8)</x:f>
        <x:v>USD</x:v>
      </x:c>
      <x:c r="K244" s="42" t="str">
        <x:f>IF('Drivers'!$D$21="","",'Drivers'!$D$21)</x:f>
        <x:v>Calendar</x:v>
      </x:c>
      <x:c r="L244" s="42" t="str">
        <x:f>IF('Drivers'!$D$9="","",'Drivers'!$D$9)</x:f>
        <x:v>Accrual</x:v>
      </x:c>
      <x:c r="M244" s="70" t="str">
        <x:f>IF('Drivers'!$D$12="","",'Drivers'!$D$12)</x:f>
      </x:c>
      <x:c r="N244" s="42" t="str">
        <x:f>IF('Drivers'!$D$15="","",'Drivers'!$D$15)</x:f>
      </x:c>
      <x:c r="O244" s="42" t="str">
        <x:v>below_noi</x:v>
      </x:c>
      <x:c r="P244" s="42" t="str">
        <x:v>below_noi</x:v>
      </x:c>
      <x:c r="Q244" s="42" t="n">
        <x:v>1</x:v>
      </x:c>
      <x:c r="R244" s="51" t="str">
        <x:f>IF(V244="Closed: excluded","",IF(ISNUMBER('STR Build'!P55),'STR Build'!P55,""))</x:f>
      </x:c>
      <x:c r="S244" s="42" t="str">
        <x:v>STR Build!P55</x:v>
      </x:c>
      <x:c r="T244" s="42" t="str">
        <x:v>Formula</x:v>
      </x:c>
      <x:c r="U244" s="67" t="str">
        <x:f>IF(ISNUMBER(R244),IF(R244=0,"Populated zero","Populated"),"Missing")</x:f>
        <x:v>Missing</x:v>
      </x:c>
      <x:c r="V244" s="67" t="str">
        <x:f>IF(AND(ISNUMBER('Drivers'!$D$12),E244&lt;='Drivers'!$D$12),"Closed: excluded","Open forecast")</x:f>
        <x:v>Open forecast</x:v>
      </x:c>
    </x:row>
    <x:row r="245" ht="22" customHeight="1">
      <x:c r="A245" s="42"/>
      <x:c r="B245" s="42"/>
      <x:c r="C245" s="42" t="str">
        <x:f>IF('Drivers'!$D$5="","",'Drivers'!$D$5)</x:f>
      </x:c>
      <x:c r="D245" s="42" t="str">
        <x:f>IF('Drivers'!$D$4="","",'Drivers'!$D$4)</x:f>
      </x:c>
      <x:c r="E245" s="69" t="n">
        <x:f>'STR Build'!P$6</x:f>
        <x:v>46692</x:v>
      </x:c>
      <x:c r="F245" s="42" t="str">
        <x:f>IF('Drivers'!$D$10="","",'Drivers'!$D$10)</x:f>
        <x:v>Working Draft</x:v>
      </x:c>
      <x:c r="G245" s="42" t="str">
        <x:f>IF('GL Mapping'!I25="",'GL Mapping'!C25,'GL Mapping'!I25)</x:f>
        <x:v>720100</x:v>
      </x:c>
      <x:c r="H245" s="42" t="str">
        <x:v>Debt interest</x:v>
      </x:c>
      <x:c r="I245" s="42" t="str">
        <x:f>IF('Drivers'!$D$11="","",'Drivers'!$D$11)</x:f>
        <x:v>Short-Term Rentals</x:v>
      </x:c>
      <x:c r="J245" s="42" t="str">
        <x:f>IF('Drivers'!$D$8="","",'Drivers'!$D$8)</x:f>
        <x:v>USD</x:v>
      </x:c>
      <x:c r="K245" s="42" t="str">
        <x:f>IF('Drivers'!$D$21="","",'Drivers'!$D$21)</x:f>
        <x:v>Calendar</x:v>
      </x:c>
      <x:c r="L245" s="42" t="str">
        <x:f>IF('Drivers'!$D$9="","",'Drivers'!$D$9)</x:f>
        <x:v>Accrual</x:v>
      </x:c>
      <x:c r="M245" s="70" t="str">
        <x:f>IF('Drivers'!$D$12="","",'Drivers'!$D$12)</x:f>
      </x:c>
      <x:c r="N245" s="42" t="str">
        <x:f>IF('Drivers'!$D$15="","",'Drivers'!$D$15)</x:f>
      </x:c>
      <x:c r="O245" s="42" t="str">
        <x:v>debt</x:v>
      </x:c>
      <x:c r="P245" s="42" t="str">
        <x:v>below_noi</x:v>
      </x:c>
      <x:c r="Q245" s="42" t="n">
        <x:v>1</x:v>
      </x:c>
      <x:c r="R245" s="51" t="str">
        <x:f>IF(V245="Closed: excluded","",IF(ISNUMBER('STR Build'!P56),'STR Build'!P56,""))</x:f>
      </x:c>
      <x:c r="S245" s="42" t="str">
        <x:v>STR Build!P56</x:v>
      </x:c>
      <x:c r="T245" s="42" t="str">
        <x:v>Formula</x:v>
      </x:c>
      <x:c r="U245" s="67" t="str">
        <x:f>IF(ISNUMBER(R245),IF(R245=0,"Populated zero","Populated"),"Missing")</x:f>
        <x:v>Missing</x:v>
      </x:c>
      <x:c r="V245" s="67" t="str">
        <x:f>IF(AND(ISNUMBER('Drivers'!$D$12),E245&lt;='Drivers'!$D$12),"Closed: excluded","Open forecast")</x:f>
        <x:v>Open forecast</x:v>
      </x:c>
    </x:row>
    <x:row r="246" ht="22" customHeight="1">
      <x:c r="A246" s="42"/>
      <x:c r="B246" s="42"/>
      <x:c r="C246" s="42" t="str">
        <x:f>IF('Drivers'!$D$5="","",'Drivers'!$D$5)</x:f>
      </x:c>
      <x:c r="D246" s="42" t="str">
        <x:f>IF('Drivers'!$D$4="","",'Drivers'!$D$4)</x:f>
      </x:c>
      <x:c r="E246" s="69" t="n">
        <x:f>'STR Build'!P$6</x:f>
        <x:v>46692</x:v>
      </x:c>
      <x:c r="F246" s="42" t="str">
        <x:f>IF('Drivers'!$D$10="","",'Drivers'!$D$10)</x:f>
        <x:v>Working Draft</x:v>
      </x:c>
      <x:c r="G246" s="42" t="str">
        <x:f>IF('GL Mapping'!I26="",'GL Mapping'!C26,'GL Mapping'!I26)</x:f>
        <x:v>720200</x:v>
      </x:c>
      <x:c r="H246" s="42" t="str">
        <x:v>Debt principal</x:v>
      </x:c>
      <x:c r="I246" s="42" t="str">
        <x:f>IF('Drivers'!$D$11="","",'Drivers'!$D$11)</x:f>
        <x:v>Short-Term Rentals</x:v>
      </x:c>
      <x:c r="J246" s="42" t="str">
        <x:f>IF('Drivers'!$D$8="","",'Drivers'!$D$8)</x:f>
        <x:v>USD</x:v>
      </x:c>
      <x:c r="K246" s="42" t="str">
        <x:f>IF('Drivers'!$D$21="","",'Drivers'!$D$21)</x:f>
        <x:v>Calendar</x:v>
      </x:c>
      <x:c r="L246" s="42" t="str">
        <x:f>IF('Drivers'!$D$9="","",'Drivers'!$D$9)</x:f>
        <x:v>Accrual</x:v>
      </x:c>
      <x:c r="M246" s="70" t="str">
        <x:f>IF('Drivers'!$D$12="","",'Drivers'!$D$12)</x:f>
      </x:c>
      <x:c r="N246" s="42" t="str">
        <x:f>IF('Drivers'!$D$15="","",'Drivers'!$D$15)</x:f>
      </x:c>
      <x:c r="O246" s="42" t="str">
        <x:v>debt</x:v>
      </x:c>
      <x:c r="P246" s="42" t="str">
        <x:v>below_noi</x:v>
      </x:c>
      <x:c r="Q246" s="42" t="n">
        <x:v>1</x:v>
      </x:c>
      <x:c r="R246" s="51" t="str">
        <x:f>IF(V246="Closed: excluded","",IF(ISNUMBER('STR Build'!P57),'STR Build'!P57,""))</x:f>
      </x:c>
      <x:c r="S246" s="42" t="str">
        <x:v>STR Build!P57</x:v>
      </x:c>
      <x:c r="T246" s="42" t="str">
        <x:v>Formula</x:v>
      </x:c>
      <x:c r="U246" s="67" t="str">
        <x:f>IF(ISNUMBER(R246),IF(R246=0,"Populated zero","Populated"),"Missing")</x:f>
        <x:v>Missing</x:v>
      </x:c>
      <x:c r="V246" s="67" t="str">
        <x:f>IF(AND(ISNUMBER('Drivers'!$D$12),E246&lt;='Drivers'!$D$12),"Closed: excluded","Open forecast")</x:f>
        <x:v>Open forecast</x:v>
      </x:c>
    </x:row>
    <x:row r="247" ht="22" customHeight="1">
      <x:c r="A247" s="42"/>
      <x:c r="B247" s="42"/>
      <x:c r="C247" s="42" t="str">
        <x:f>IF('Drivers'!$D$5="","",'Drivers'!$D$5)</x:f>
      </x:c>
      <x:c r="D247" s="42" t="str">
        <x:f>IF('Drivers'!$D$4="","",'Drivers'!$D$4)</x:f>
      </x:c>
      <x:c r="E247" s="69" t="n">
        <x:f>'STR Build'!P$6</x:f>
        <x:v>46692</x:v>
      </x:c>
      <x:c r="F247" s="42" t="str">
        <x:f>IF('Drivers'!$D$10="","",'Drivers'!$D$10)</x:f>
        <x:v>Working Draft</x:v>
      </x:c>
      <x:c r="G247" s="42" t="str">
        <x:f>IF('GL Mapping'!I27="",'GL Mapping'!C27,'GL Mapping'!I27)</x:f>
        <x:v>730100</x:v>
      </x:c>
      <x:c r="H247" s="42" t="str">
        <x:v>Capital expenditure</x:v>
      </x:c>
      <x:c r="I247" s="42" t="str">
        <x:f>IF('Drivers'!$D$11="","",'Drivers'!$D$11)</x:f>
        <x:v>Short-Term Rentals</x:v>
      </x:c>
      <x:c r="J247" s="42" t="str">
        <x:f>IF('Drivers'!$D$8="","",'Drivers'!$D$8)</x:f>
        <x:v>USD</x:v>
      </x:c>
      <x:c r="K247" s="42" t="str">
        <x:f>IF('Drivers'!$D$21="","",'Drivers'!$D$21)</x:f>
        <x:v>Calendar</x:v>
      </x:c>
      <x:c r="L247" s="42" t="str">
        <x:f>IF('Drivers'!$D$9="","",'Drivers'!$D$9)</x:f>
        <x:v>Accrual</x:v>
      </x:c>
      <x:c r="M247" s="70" t="str">
        <x:f>IF('Drivers'!$D$12="","",'Drivers'!$D$12)</x:f>
      </x:c>
      <x:c r="N247" s="42" t="str">
        <x:f>IF('Drivers'!$D$15="","",'Drivers'!$D$15)</x:f>
      </x:c>
      <x:c r="O247" s="42" t="str">
        <x:v>capital</x:v>
      </x:c>
      <x:c r="P247" s="42" t="str">
        <x:v>below_noi</x:v>
      </x:c>
      <x:c r="Q247" s="42" t="n">
        <x:v>1</x:v>
      </x:c>
      <x:c r="R247" s="51" t="str">
        <x:f>IF(V247="Closed: excluded","",IF(ISNUMBER('STR Build'!P58),'STR Build'!P58,""))</x:f>
      </x:c>
      <x:c r="S247" s="42" t="str">
        <x:v>STR Build!P58</x:v>
      </x:c>
      <x:c r="T247" s="42" t="str">
        <x:v>Formula</x:v>
      </x:c>
      <x:c r="U247" s="67" t="str">
        <x:f>IF(ISNUMBER(R247),IF(R247=0,"Populated zero","Populated"),"Missing")</x:f>
        <x:v>Missing</x:v>
      </x:c>
      <x:c r="V247" s="67" t="str">
        <x:f>IF(AND(ISNUMBER('Drivers'!$D$12),E247&lt;='Drivers'!$D$12),"Closed: excluded","Open forecast")</x:f>
        <x:v>Open forecast</x:v>
      </x:c>
    </x:row>
    <x:row r="248" ht="22" customHeight="1">
      <x:c r="A248" s="42"/>
      <x:c r="B248" s="42"/>
      <x:c r="C248" s="42" t="str">
        <x:f>IF('Drivers'!$D$5="","",'Drivers'!$D$5)</x:f>
      </x:c>
      <x:c r="D248" s="42" t="str">
        <x:f>IF('Drivers'!$D$4="","",'Drivers'!$D$4)</x:f>
      </x:c>
      <x:c r="E248" s="69" t="n">
        <x:f>'STR Build'!P$6</x:f>
        <x:v>46692</x:v>
      </x:c>
      <x:c r="F248" s="42" t="str">
        <x:f>IF('Drivers'!$D$10="","",'Drivers'!$D$10)</x:f>
        <x:v>Working Draft</x:v>
      </x:c>
      <x:c r="G248" s="42" t="str">
        <x:f>IF('GL Mapping'!I28="",'GL Mapping'!C28,'GL Mapping'!I28)</x:f>
        <x:v>740100</x:v>
      </x:c>
      <x:c r="H248" s="42" t="str">
        <x:v>Working-capital cash use</x:v>
      </x:c>
      <x:c r="I248" s="42" t="str">
        <x:f>IF('Drivers'!$D$11="","",'Drivers'!$D$11)</x:f>
        <x:v>Short-Term Rentals</x:v>
      </x:c>
      <x:c r="J248" s="42" t="str">
        <x:f>IF('Drivers'!$D$8="","",'Drivers'!$D$8)</x:f>
        <x:v>USD</x:v>
      </x:c>
      <x:c r="K248" s="42" t="str">
        <x:f>IF('Drivers'!$D$21="","",'Drivers'!$D$21)</x:f>
        <x:v>Calendar</x:v>
      </x:c>
      <x:c r="L248" s="42" t="str">
        <x:f>IF('Drivers'!$D$9="","",'Drivers'!$D$9)</x:f>
        <x:v>Accrual</x:v>
      </x:c>
      <x:c r="M248" s="70" t="str">
        <x:f>IF('Drivers'!$D$12="","",'Drivers'!$D$12)</x:f>
      </x:c>
      <x:c r="N248" s="42" t="str">
        <x:f>IF('Drivers'!$D$15="","",'Drivers'!$D$15)</x:f>
      </x:c>
      <x:c r="O248" s="42" t="str">
        <x:v>below_noi</x:v>
      </x:c>
      <x:c r="P248" s="42" t="str">
        <x:v>below_noi</x:v>
      </x:c>
      <x:c r="Q248" s="42" t="n">
        <x:v>1</x:v>
      </x:c>
      <x:c r="R248" s="51" t="str">
        <x:f>IF(V248="Closed: excluded","",IF(ISNUMBER('STR Build'!P59),'STR Build'!P59,""))</x:f>
      </x:c>
      <x:c r="S248" s="42" t="str">
        <x:v>STR Build!P59</x:v>
      </x:c>
      <x:c r="T248" s="42" t="str">
        <x:v>Formula</x:v>
      </x:c>
      <x:c r="U248" s="67" t="str">
        <x:f>IF(ISNUMBER(R248),IF(R248=0,"Populated zero","Populated"),"Missing")</x:f>
        <x:v>Missing</x:v>
      </x:c>
      <x:c r="V248" s="67" t="str">
        <x:f>IF(AND(ISNUMBER('Drivers'!$D$12),E248&lt;='Drivers'!$D$12),"Closed: excluded","Open forecast")</x:f>
        <x:v>Open forecast</x:v>
      </x:c>
    </x:row>
    <x:row r="249" ht="22" customHeight="1">
      <x:c r="A249" s="42"/>
      <x:c r="B249" s="42"/>
      <x:c r="C249" s="42" t="str">
        <x:f>IF('Drivers'!$D$5="","",'Drivers'!$D$5)</x:f>
      </x:c>
      <x:c r="D249" s="42" t="str">
        <x:f>IF('Drivers'!$D$4="","",'Drivers'!$D$4)</x:f>
      </x:c>
      <x:c r="E249" s="69" t="n">
        <x:f>'STR Build'!Q$6</x:f>
        <x:v>46722</x:v>
      </x:c>
      <x:c r="F249" s="42" t="str">
        <x:f>IF('Drivers'!$D$10="","",'Drivers'!$D$10)</x:f>
        <x:v>Working Draft</x:v>
      </x:c>
      <x:c r="G249" s="42" t="str">
        <x:f>IF('GL Mapping'!I7="",'GL Mapping'!C7,'GL Mapping'!I7)</x:f>
        <x:v>410100</x:v>
      </x:c>
      <x:c r="H249" s="42" t="str">
        <x:v>Lodging revenue</x:v>
      </x:c>
      <x:c r="I249" s="42" t="str">
        <x:f>IF('Drivers'!$D$11="","",'Drivers'!$D$11)</x:f>
        <x:v>Short-Term Rentals</x:v>
      </x:c>
      <x:c r="J249" s="42" t="str">
        <x:f>IF('Drivers'!$D$8="","",'Drivers'!$D$8)</x:f>
        <x:v>USD</x:v>
      </x:c>
      <x:c r="K249" s="42" t="str">
        <x:f>IF('Drivers'!$D$21="","",'Drivers'!$D$21)</x:f>
        <x:v>Calendar</x:v>
      </x:c>
      <x:c r="L249" s="42" t="str">
        <x:f>IF('Drivers'!$D$9="","",'Drivers'!$D$9)</x:f>
        <x:v>Accrual</x:v>
      </x:c>
      <x:c r="M249" s="70" t="str">
        <x:f>IF('Drivers'!$D$12="","",'Drivers'!$D$12)</x:f>
      </x:c>
      <x:c r="N249" s="42" t="str">
        <x:f>IF('Drivers'!$D$15="","",'Drivers'!$D$15)</x:f>
      </x:c>
      <x:c r="O249" s="42" t="str">
        <x:v>income</x:v>
      </x:c>
      <x:c r="P249" s="42" t="str">
        <x:v>above_noi</x:v>
      </x:c>
      <x:c r="Q249" s="42" t="n">
        <x:v>1</x:v>
      </x:c>
      <x:c r="R249" s="51" t="str">
        <x:f>IF(V249="Closed: excluded","",IF(ISNUMBER('STR Build'!Q28),'STR Build'!Q28,""))</x:f>
      </x:c>
      <x:c r="S249" s="42" t="str">
        <x:v>STR Build!Q28</x:v>
      </x:c>
      <x:c r="T249" s="42" t="str">
        <x:v>Formula</x:v>
      </x:c>
      <x:c r="U249" s="67" t="str">
        <x:f>IF(ISNUMBER(R249),IF(R249=0,"Populated zero","Populated"),"Missing")</x:f>
        <x:v>Missing</x:v>
      </x:c>
      <x:c r="V249" s="67" t="str">
        <x:f>IF(AND(ISNUMBER('Drivers'!$D$12),E249&lt;='Drivers'!$D$12),"Closed: excluded","Open forecast")</x:f>
        <x:v>Open forecast</x:v>
      </x:c>
    </x:row>
    <x:row r="250" ht="22" customHeight="1">
      <x:c r="A250" s="42"/>
      <x:c r="B250" s="42"/>
      <x:c r="C250" s="42" t="str">
        <x:f>IF('Drivers'!$D$5="","",'Drivers'!$D$5)</x:f>
      </x:c>
      <x:c r="D250" s="42" t="str">
        <x:f>IF('Drivers'!$D$4="","",'Drivers'!$D$4)</x:f>
      </x:c>
      <x:c r="E250" s="69" t="n">
        <x:f>'STR Build'!Q$6</x:f>
        <x:v>46722</x:v>
      </x:c>
      <x:c r="F250" s="42" t="str">
        <x:f>IF('Drivers'!$D$10="","",'Drivers'!$D$10)</x:f>
        <x:v>Working Draft</x:v>
      </x:c>
      <x:c r="G250" s="42" t="str">
        <x:f>IF('GL Mapping'!I8="",'GL Mapping'!C8,'GL Mapping'!I8)</x:f>
        <x:v>410200</x:v>
      </x:c>
      <x:c r="H250" s="42" t="str">
        <x:v>Cleaning fee income</x:v>
      </x:c>
      <x:c r="I250" s="42" t="str">
        <x:f>IF('Drivers'!$D$11="","",'Drivers'!$D$11)</x:f>
        <x:v>Short-Term Rentals</x:v>
      </x:c>
      <x:c r="J250" s="42" t="str">
        <x:f>IF('Drivers'!$D$8="","",'Drivers'!$D$8)</x:f>
        <x:v>USD</x:v>
      </x:c>
      <x:c r="K250" s="42" t="str">
        <x:f>IF('Drivers'!$D$21="","",'Drivers'!$D$21)</x:f>
        <x:v>Calendar</x:v>
      </x:c>
      <x:c r="L250" s="42" t="str">
        <x:f>IF('Drivers'!$D$9="","",'Drivers'!$D$9)</x:f>
        <x:v>Accrual</x:v>
      </x:c>
      <x:c r="M250" s="70" t="str">
        <x:f>IF('Drivers'!$D$12="","",'Drivers'!$D$12)</x:f>
      </x:c>
      <x:c r="N250" s="42" t="str">
        <x:f>IF('Drivers'!$D$15="","",'Drivers'!$D$15)</x:f>
      </x:c>
      <x:c r="O250" s="42" t="str">
        <x:v>income</x:v>
      </x:c>
      <x:c r="P250" s="42" t="str">
        <x:v>above_noi</x:v>
      </x:c>
      <x:c r="Q250" s="42" t="n">
        <x:v>1</x:v>
      </x:c>
      <x:c r="R250" s="51" t="str">
        <x:f>IF(V250="Closed: excluded","",IF(ISNUMBER('STR Build'!Q29),'STR Build'!Q29,""))</x:f>
      </x:c>
      <x:c r="S250" s="42" t="str">
        <x:v>STR Build!Q29</x:v>
      </x:c>
      <x:c r="T250" s="42" t="str">
        <x:v>Formula</x:v>
      </x:c>
      <x:c r="U250" s="67" t="str">
        <x:f>IF(ISNUMBER(R250),IF(R250=0,"Populated zero","Populated"),"Missing")</x:f>
        <x:v>Missing</x:v>
      </x:c>
      <x:c r="V250" s="67" t="str">
        <x:f>IF(AND(ISNUMBER('Drivers'!$D$12),E250&lt;='Drivers'!$D$12),"Closed: excluded","Open forecast")</x:f>
        <x:v>Open forecast</x:v>
      </x:c>
    </x:row>
    <x:row r="251" ht="22" customHeight="1">
      <x:c r="A251" s="42"/>
      <x:c r="B251" s="42"/>
      <x:c r="C251" s="42" t="str">
        <x:f>IF('Drivers'!$D$5="","",'Drivers'!$D$5)</x:f>
      </x:c>
      <x:c r="D251" s="42" t="str">
        <x:f>IF('Drivers'!$D$4="","",'Drivers'!$D$4)</x:f>
      </x:c>
      <x:c r="E251" s="69" t="n">
        <x:f>'STR Build'!Q$6</x:f>
        <x:v>46722</x:v>
      </x:c>
      <x:c r="F251" s="42" t="str">
        <x:f>IF('Drivers'!$D$10="","",'Drivers'!$D$10)</x:f>
        <x:v>Working Draft</x:v>
      </x:c>
      <x:c r="G251" s="42" t="str">
        <x:f>IF('GL Mapping'!I9="",'GL Mapping'!C9,'GL Mapping'!I9)</x:f>
        <x:v>410300</x:v>
      </x:c>
      <x:c r="H251" s="42" t="str">
        <x:v>Other guest fee income</x:v>
      </x:c>
      <x:c r="I251" s="42" t="str">
        <x:f>IF('Drivers'!$D$11="","",'Drivers'!$D$11)</x:f>
        <x:v>Short-Term Rentals</x:v>
      </x:c>
      <x:c r="J251" s="42" t="str">
        <x:f>IF('Drivers'!$D$8="","",'Drivers'!$D$8)</x:f>
        <x:v>USD</x:v>
      </x:c>
      <x:c r="K251" s="42" t="str">
        <x:f>IF('Drivers'!$D$21="","",'Drivers'!$D$21)</x:f>
        <x:v>Calendar</x:v>
      </x:c>
      <x:c r="L251" s="42" t="str">
        <x:f>IF('Drivers'!$D$9="","",'Drivers'!$D$9)</x:f>
        <x:v>Accrual</x:v>
      </x:c>
      <x:c r="M251" s="70" t="str">
        <x:f>IF('Drivers'!$D$12="","",'Drivers'!$D$12)</x:f>
      </x:c>
      <x:c r="N251" s="42" t="str">
        <x:f>IF('Drivers'!$D$15="","",'Drivers'!$D$15)</x:f>
      </x:c>
      <x:c r="O251" s="42" t="str">
        <x:v>income</x:v>
      </x:c>
      <x:c r="P251" s="42" t="str">
        <x:v>above_noi</x:v>
      </x:c>
      <x:c r="Q251" s="42" t="n">
        <x:v>1</x:v>
      </x:c>
      <x:c r="R251" s="51" t="str">
        <x:f>IF(V251="Closed: excluded","",IF(ISNUMBER('STR Build'!Q30),'STR Build'!Q30,""))</x:f>
      </x:c>
      <x:c r="S251" s="42" t="str">
        <x:v>STR Build!Q30</x:v>
      </x:c>
      <x:c r="T251" s="42" t="str">
        <x:v>Formula</x:v>
      </x:c>
      <x:c r="U251" s="67" t="str">
        <x:f>IF(ISNUMBER(R251),IF(R251=0,"Populated zero","Populated"),"Missing")</x:f>
        <x:v>Missing</x:v>
      </x:c>
      <x:c r="V251" s="67" t="str">
        <x:f>IF(AND(ISNUMBER('Drivers'!$D$12),E251&lt;='Drivers'!$D$12),"Closed: excluded","Open forecast")</x:f>
        <x:v>Open forecast</x:v>
      </x:c>
    </x:row>
    <x:row r="252" ht="22" customHeight="1">
      <x:c r="A252" s="42"/>
      <x:c r="B252" s="42"/>
      <x:c r="C252" s="42" t="str">
        <x:f>IF('Drivers'!$D$5="","",'Drivers'!$D$5)</x:f>
      </x:c>
      <x:c r="D252" s="42" t="str">
        <x:f>IF('Drivers'!$D$4="","",'Drivers'!$D$4)</x:f>
      </x:c>
      <x:c r="E252" s="69" t="n">
        <x:f>'STR Build'!Q$6</x:f>
        <x:v>46722</x:v>
      </x:c>
      <x:c r="F252" s="42" t="str">
        <x:f>IF('Drivers'!$D$10="","",'Drivers'!$D$10)</x:f>
        <x:v>Working Draft</x:v>
      </x:c>
      <x:c r="G252" s="42" t="str">
        <x:f>IF('GL Mapping'!I10="",'GL Mapping'!C10,'GL Mapping'!I10)</x:f>
        <x:v>419100</x:v>
      </x:c>
      <x:c r="H252" s="42" t="str">
        <x:v>Refunds and discounts</x:v>
      </x:c>
      <x:c r="I252" s="42" t="str">
        <x:f>IF('Drivers'!$D$11="","",'Drivers'!$D$11)</x:f>
        <x:v>Short-Term Rentals</x:v>
      </x:c>
      <x:c r="J252" s="42" t="str">
        <x:f>IF('Drivers'!$D$8="","",'Drivers'!$D$8)</x:f>
        <x:v>USD</x:v>
      </x:c>
      <x:c r="K252" s="42" t="str">
        <x:f>IF('Drivers'!$D$21="","",'Drivers'!$D$21)</x:f>
        <x:v>Calendar</x:v>
      </x:c>
      <x:c r="L252" s="42" t="str">
        <x:f>IF('Drivers'!$D$9="","",'Drivers'!$D$9)</x:f>
        <x:v>Accrual</x:v>
      </x:c>
      <x:c r="M252" s="70" t="str">
        <x:f>IF('Drivers'!$D$12="","",'Drivers'!$D$12)</x:f>
      </x:c>
      <x:c r="N252" s="42" t="str">
        <x:f>IF('Drivers'!$D$15="","",'Drivers'!$D$15)</x:f>
      </x:c>
      <x:c r="O252" s="42" t="str">
        <x:v>contra_income</x:v>
      </x:c>
      <x:c r="P252" s="42" t="str">
        <x:v>above_noi</x:v>
      </x:c>
      <x:c r="Q252" s="42" t="n">
        <x:v>1</x:v>
      </x:c>
      <x:c r="R252" s="51" t="str">
        <x:f>IF(V252="Closed: excluded","",IF(ISNUMBER('STR Build'!Q32),'STR Build'!Q32,""))</x:f>
      </x:c>
      <x:c r="S252" s="42" t="str">
        <x:v>STR Build!Q32</x:v>
      </x:c>
      <x:c r="T252" s="42" t="str">
        <x:v>Formula</x:v>
      </x:c>
      <x:c r="U252" s="67" t="str">
        <x:f>IF(ISNUMBER(R252),IF(R252=0,"Populated zero","Populated"),"Missing")</x:f>
        <x:v>Missing</x:v>
      </x:c>
      <x:c r="V252" s="67" t="str">
        <x:f>IF(AND(ISNUMBER('Drivers'!$D$12),E252&lt;='Drivers'!$D$12),"Closed: excluded","Open forecast")</x:f>
        <x:v>Open forecast</x:v>
      </x:c>
    </x:row>
    <x:row r="253" ht="22" customHeight="1">
      <x:c r="A253" s="42"/>
      <x:c r="B253" s="42"/>
      <x:c r="C253" s="42" t="str">
        <x:f>IF('Drivers'!$D$5="","",'Drivers'!$D$5)</x:f>
      </x:c>
      <x:c r="D253" s="42" t="str">
        <x:f>IF('Drivers'!$D$4="","",'Drivers'!$D$4)</x:f>
      </x:c>
      <x:c r="E253" s="69" t="n">
        <x:f>'STR Build'!Q$6</x:f>
        <x:v>46722</x:v>
      </x:c>
      <x:c r="F253" s="42" t="str">
        <x:f>IF('Drivers'!$D$10="","",'Drivers'!$D$10)</x:f>
        <x:v>Working Draft</x:v>
      </x:c>
      <x:c r="G253" s="42" t="str">
        <x:f>IF('GL Mapping'!I11="",'GL Mapping'!C11,'GL Mapping'!I11)</x:f>
        <x:v>419200</x:v>
      </x:c>
      <x:c r="H253" s="42" t="str">
        <x:v>Bad debt</x:v>
      </x:c>
      <x:c r="I253" s="42" t="str">
        <x:f>IF('Drivers'!$D$11="","",'Drivers'!$D$11)</x:f>
        <x:v>Short-Term Rentals</x:v>
      </x:c>
      <x:c r="J253" s="42" t="str">
        <x:f>IF('Drivers'!$D$8="","",'Drivers'!$D$8)</x:f>
        <x:v>USD</x:v>
      </x:c>
      <x:c r="K253" s="42" t="str">
        <x:f>IF('Drivers'!$D$21="","",'Drivers'!$D$21)</x:f>
        <x:v>Calendar</x:v>
      </x:c>
      <x:c r="L253" s="42" t="str">
        <x:f>IF('Drivers'!$D$9="","",'Drivers'!$D$9)</x:f>
        <x:v>Accrual</x:v>
      </x:c>
      <x:c r="M253" s="70" t="str">
        <x:f>IF('Drivers'!$D$12="","",'Drivers'!$D$12)</x:f>
      </x:c>
      <x:c r="N253" s="42" t="str">
        <x:f>IF('Drivers'!$D$15="","",'Drivers'!$D$15)</x:f>
      </x:c>
      <x:c r="O253" s="42" t="str">
        <x:v>contra_income</x:v>
      </x:c>
      <x:c r="P253" s="42" t="str">
        <x:v>above_noi</x:v>
      </x:c>
      <x:c r="Q253" s="42" t="n">
        <x:v>1</x:v>
      </x:c>
      <x:c r="R253" s="51" t="str">
        <x:f>IF(V253="Closed: excluded","",IF(ISNUMBER('STR Build'!Q33),'STR Build'!Q33,""))</x:f>
      </x:c>
      <x:c r="S253" s="42" t="str">
        <x:v>STR Build!Q33</x:v>
      </x:c>
      <x:c r="T253" s="42" t="str">
        <x:v>Formula</x:v>
      </x:c>
      <x:c r="U253" s="67" t="str">
        <x:f>IF(ISNUMBER(R253),IF(R253=0,"Populated zero","Populated"),"Missing")</x:f>
        <x:v>Missing</x:v>
      </x:c>
      <x:c r="V253" s="67" t="str">
        <x:f>IF(AND(ISNUMBER('Drivers'!$D$12),E253&lt;='Drivers'!$D$12),"Closed: excluded","Open forecast")</x:f>
        <x:v>Open forecast</x:v>
      </x:c>
    </x:row>
    <x:row r="254" ht="22" customHeight="1">
      <x:c r="A254" s="42"/>
      <x:c r="B254" s="42"/>
      <x:c r="C254" s="42" t="str">
        <x:f>IF('Drivers'!$D$5="","",'Drivers'!$D$5)</x:f>
      </x:c>
      <x:c r="D254" s="42" t="str">
        <x:f>IF('Drivers'!$D$4="","",'Drivers'!$D$4)</x:f>
      </x:c>
      <x:c r="E254" s="69" t="n">
        <x:f>'STR Build'!Q$6</x:f>
        <x:v>46722</x:v>
      </x:c>
      <x:c r="F254" s="42" t="str">
        <x:f>IF('Drivers'!$D$10="","",'Drivers'!$D$10)</x:f>
        <x:v>Working Draft</x:v>
      </x:c>
      <x:c r="G254" s="42" t="str">
        <x:f>IF('GL Mapping'!I12="",'GL Mapping'!C12,'GL Mapping'!I12)</x:f>
        <x:v>610100</x:v>
      </x:c>
      <x:c r="H254" s="42" t="str">
        <x:v>Channel commissions</x:v>
      </x:c>
      <x:c r="I254" s="42" t="str">
        <x:f>IF('Drivers'!$D$11="","",'Drivers'!$D$11)</x:f>
        <x:v>Short-Term Rentals</x:v>
      </x:c>
      <x:c r="J254" s="42" t="str">
        <x:f>IF('Drivers'!$D$8="","",'Drivers'!$D$8)</x:f>
        <x:v>USD</x:v>
      </x:c>
      <x:c r="K254" s="42" t="str">
        <x:f>IF('Drivers'!$D$21="","",'Drivers'!$D$21)</x:f>
        <x:v>Calendar</x:v>
      </x:c>
      <x:c r="L254" s="42" t="str">
        <x:f>IF('Drivers'!$D$9="","",'Drivers'!$D$9)</x:f>
        <x:v>Accrual</x:v>
      </x:c>
      <x:c r="M254" s="70" t="str">
        <x:f>IF('Drivers'!$D$12="","",'Drivers'!$D$12)</x:f>
      </x:c>
      <x:c r="N254" s="42" t="str">
        <x:f>IF('Drivers'!$D$15="","",'Drivers'!$D$15)</x:f>
      </x:c>
      <x:c r="O254" s="42" t="str">
        <x:v>expense</x:v>
      </x:c>
      <x:c r="P254" s="42" t="str">
        <x:v>above_noi</x:v>
      </x:c>
      <x:c r="Q254" s="42" t="n">
        <x:v>1</x:v>
      </x:c>
      <x:c r="R254" s="51" t="str">
        <x:f>IF(V254="Closed: excluded","",IF(ISNUMBER('STR Build'!Q36),'STR Build'!Q36,""))</x:f>
      </x:c>
      <x:c r="S254" s="42" t="str">
        <x:v>STR Build!Q36</x:v>
      </x:c>
      <x:c r="T254" s="42" t="str">
        <x:v>Formula</x:v>
      </x:c>
      <x:c r="U254" s="67" t="str">
        <x:f>IF(ISNUMBER(R254),IF(R254=0,"Populated zero","Populated"),"Missing")</x:f>
        <x:v>Missing</x:v>
      </x:c>
      <x:c r="V254" s="67" t="str">
        <x:f>IF(AND(ISNUMBER('Drivers'!$D$12),E254&lt;='Drivers'!$D$12),"Closed: excluded","Open forecast")</x:f>
        <x:v>Open forecast</x:v>
      </x:c>
    </x:row>
    <x:row r="255" ht="22" customHeight="1">
      <x:c r="A255" s="42"/>
      <x:c r="B255" s="42"/>
      <x:c r="C255" s="42" t="str">
        <x:f>IF('Drivers'!$D$5="","",'Drivers'!$D$5)</x:f>
      </x:c>
      <x:c r="D255" s="42" t="str">
        <x:f>IF('Drivers'!$D$4="","",'Drivers'!$D$4)</x:f>
      </x:c>
      <x:c r="E255" s="69" t="n">
        <x:f>'STR Build'!Q$6</x:f>
        <x:v>46722</x:v>
      </x:c>
      <x:c r="F255" s="42" t="str">
        <x:f>IF('Drivers'!$D$10="","",'Drivers'!$D$10)</x:f>
        <x:v>Working Draft</x:v>
      </x:c>
      <x:c r="G255" s="42" t="str">
        <x:f>IF('GL Mapping'!I13="",'GL Mapping'!C13,'GL Mapping'!I13)</x:f>
        <x:v>610200</x:v>
      </x:c>
      <x:c r="H255" s="42" t="str">
        <x:v>Cleaning expense</x:v>
      </x:c>
      <x:c r="I255" s="42" t="str">
        <x:f>IF('Drivers'!$D$11="","",'Drivers'!$D$11)</x:f>
        <x:v>Short-Term Rentals</x:v>
      </x:c>
      <x:c r="J255" s="42" t="str">
        <x:f>IF('Drivers'!$D$8="","",'Drivers'!$D$8)</x:f>
        <x:v>USD</x:v>
      </x:c>
      <x:c r="K255" s="42" t="str">
        <x:f>IF('Drivers'!$D$21="","",'Drivers'!$D$21)</x:f>
        <x:v>Calendar</x:v>
      </x:c>
      <x:c r="L255" s="42" t="str">
        <x:f>IF('Drivers'!$D$9="","",'Drivers'!$D$9)</x:f>
        <x:v>Accrual</x:v>
      </x:c>
      <x:c r="M255" s="70" t="str">
        <x:f>IF('Drivers'!$D$12="","",'Drivers'!$D$12)</x:f>
      </x:c>
      <x:c r="N255" s="42" t="str">
        <x:f>IF('Drivers'!$D$15="","",'Drivers'!$D$15)</x:f>
      </x:c>
      <x:c r="O255" s="42" t="str">
        <x:v>expense</x:v>
      </x:c>
      <x:c r="P255" s="42" t="str">
        <x:v>above_noi</x:v>
      </x:c>
      <x:c r="Q255" s="42" t="n">
        <x:v>1</x:v>
      </x:c>
      <x:c r="R255" s="51" t="str">
        <x:f>IF(V255="Closed: excluded","",IF(ISNUMBER('STR Build'!Q37),'STR Build'!Q37,""))</x:f>
      </x:c>
      <x:c r="S255" s="42" t="str">
        <x:v>STR Build!Q37</x:v>
      </x:c>
      <x:c r="T255" s="42" t="str">
        <x:v>Formula</x:v>
      </x:c>
      <x:c r="U255" s="67" t="str">
        <x:f>IF(ISNUMBER(R255),IF(R255=0,"Populated zero","Populated"),"Missing")</x:f>
        <x:v>Missing</x:v>
      </x:c>
      <x:c r="V255" s="67" t="str">
        <x:f>IF(AND(ISNUMBER('Drivers'!$D$12),E255&lt;='Drivers'!$D$12),"Closed: excluded","Open forecast")</x:f>
        <x:v>Open forecast</x:v>
      </x:c>
    </x:row>
    <x:row r="256" ht="22" customHeight="1">
      <x:c r="A256" s="42"/>
      <x:c r="B256" s="42"/>
      <x:c r="C256" s="42" t="str">
        <x:f>IF('Drivers'!$D$5="","",'Drivers'!$D$5)</x:f>
      </x:c>
      <x:c r="D256" s="42" t="str">
        <x:f>IF('Drivers'!$D$4="","",'Drivers'!$D$4)</x:f>
      </x:c>
      <x:c r="E256" s="69" t="n">
        <x:f>'STR Build'!Q$6</x:f>
        <x:v>46722</x:v>
      </x:c>
      <x:c r="F256" s="42" t="str">
        <x:f>IF('Drivers'!$D$10="","",'Drivers'!$D$10)</x:f>
        <x:v>Working Draft</x:v>
      </x:c>
      <x:c r="G256" s="42" t="str">
        <x:f>IF('GL Mapping'!I14="",'GL Mapping'!C14,'GL Mapping'!I14)</x:f>
        <x:v>610300</x:v>
      </x:c>
      <x:c r="H256" s="42" t="str">
        <x:v>Property-borne lodging tax</x:v>
      </x:c>
      <x:c r="I256" s="42" t="str">
        <x:f>IF('Drivers'!$D$11="","",'Drivers'!$D$11)</x:f>
        <x:v>Short-Term Rentals</x:v>
      </x:c>
      <x:c r="J256" s="42" t="str">
        <x:f>IF('Drivers'!$D$8="","",'Drivers'!$D$8)</x:f>
        <x:v>USD</x:v>
      </x:c>
      <x:c r="K256" s="42" t="str">
        <x:f>IF('Drivers'!$D$21="","",'Drivers'!$D$21)</x:f>
        <x:v>Calendar</x:v>
      </x:c>
      <x:c r="L256" s="42" t="str">
        <x:f>IF('Drivers'!$D$9="","",'Drivers'!$D$9)</x:f>
        <x:v>Accrual</x:v>
      </x:c>
      <x:c r="M256" s="70" t="str">
        <x:f>IF('Drivers'!$D$12="","",'Drivers'!$D$12)</x:f>
      </x:c>
      <x:c r="N256" s="42" t="str">
        <x:f>IF('Drivers'!$D$15="","",'Drivers'!$D$15)</x:f>
      </x:c>
      <x:c r="O256" s="42" t="str">
        <x:v>expense</x:v>
      </x:c>
      <x:c r="P256" s="42" t="str">
        <x:v>above_noi</x:v>
      </x:c>
      <x:c r="Q256" s="42" t="n">
        <x:v>1</x:v>
      </x:c>
      <x:c r="R256" s="51" t="str">
        <x:f>IF(V256="Closed: excluded","",IF(ISNUMBER('STR Build'!Q38),'STR Build'!Q38,""))</x:f>
      </x:c>
      <x:c r="S256" s="42" t="str">
        <x:v>STR Build!Q38</x:v>
      </x:c>
      <x:c r="T256" s="42" t="str">
        <x:v>Formula</x:v>
      </x:c>
      <x:c r="U256" s="67" t="str">
        <x:f>IF(ISNUMBER(R256),IF(R256=0,"Populated zero","Populated"),"Missing")</x:f>
        <x:v>Missing</x:v>
      </x:c>
      <x:c r="V256" s="67" t="str">
        <x:f>IF(AND(ISNUMBER('Drivers'!$D$12),E256&lt;='Drivers'!$D$12),"Closed: excluded","Open forecast")</x:f>
        <x:v>Open forecast</x:v>
      </x:c>
    </x:row>
    <x:row r="257" ht="22" customHeight="1">
      <x:c r="A257" s="42"/>
      <x:c r="B257" s="42"/>
      <x:c r="C257" s="42" t="str">
        <x:f>IF('Drivers'!$D$5="","",'Drivers'!$D$5)</x:f>
      </x:c>
      <x:c r="D257" s="42" t="str">
        <x:f>IF('Drivers'!$D$4="","",'Drivers'!$D$4)</x:f>
      </x:c>
      <x:c r="E257" s="69" t="n">
        <x:f>'STR Build'!Q$6</x:f>
        <x:v>46722</x:v>
      </x:c>
      <x:c r="F257" s="42" t="str">
        <x:f>IF('Drivers'!$D$10="","",'Drivers'!$D$10)</x:f>
        <x:v>Working Draft</x:v>
      </x:c>
      <x:c r="G257" s="42" t="str">
        <x:f>IF('GL Mapping'!I15="",'GL Mapping'!C15,'GL Mapping'!I15)</x:f>
        <x:v>610400</x:v>
      </x:c>
      <x:c r="H257" s="42" t="str">
        <x:v>Supplies</x:v>
      </x:c>
      <x:c r="I257" s="42" t="str">
        <x:f>IF('Drivers'!$D$11="","",'Drivers'!$D$11)</x:f>
        <x:v>Short-Term Rentals</x:v>
      </x:c>
      <x:c r="J257" s="42" t="str">
        <x:f>IF('Drivers'!$D$8="","",'Drivers'!$D$8)</x:f>
        <x:v>USD</x:v>
      </x:c>
      <x:c r="K257" s="42" t="str">
        <x:f>IF('Drivers'!$D$21="","",'Drivers'!$D$21)</x:f>
        <x:v>Calendar</x:v>
      </x:c>
      <x:c r="L257" s="42" t="str">
        <x:f>IF('Drivers'!$D$9="","",'Drivers'!$D$9)</x:f>
        <x:v>Accrual</x:v>
      </x:c>
      <x:c r="M257" s="70" t="str">
        <x:f>IF('Drivers'!$D$12="","",'Drivers'!$D$12)</x:f>
      </x:c>
      <x:c r="N257" s="42" t="str">
        <x:f>IF('Drivers'!$D$15="","",'Drivers'!$D$15)</x:f>
      </x:c>
      <x:c r="O257" s="42" t="str">
        <x:v>expense</x:v>
      </x:c>
      <x:c r="P257" s="42" t="str">
        <x:v>above_noi</x:v>
      </x:c>
      <x:c r="Q257" s="42" t="n">
        <x:v>1</x:v>
      </x:c>
      <x:c r="R257" s="51" t="str">
        <x:f>IF(V257="Closed: excluded","",IF(ISNUMBER('STR Build'!Q39),'STR Build'!Q39,""))</x:f>
      </x:c>
      <x:c r="S257" s="42" t="str">
        <x:v>STR Build!Q39</x:v>
      </x:c>
      <x:c r="T257" s="42" t="str">
        <x:v>Formula</x:v>
      </x:c>
      <x:c r="U257" s="67" t="str">
        <x:f>IF(ISNUMBER(R257),IF(R257=0,"Populated zero","Populated"),"Missing")</x:f>
        <x:v>Missing</x:v>
      </x:c>
      <x:c r="V257" s="67" t="str">
        <x:f>IF(AND(ISNUMBER('Drivers'!$D$12),E257&lt;='Drivers'!$D$12),"Closed: excluded","Open forecast")</x:f>
        <x:v>Open forecast</x:v>
      </x:c>
    </x:row>
    <x:row r="258" ht="22" customHeight="1">
      <x:c r="A258" s="42"/>
      <x:c r="B258" s="42"/>
      <x:c r="C258" s="42" t="str">
        <x:f>IF('Drivers'!$D$5="","",'Drivers'!$D$5)</x:f>
      </x:c>
      <x:c r="D258" s="42" t="str">
        <x:f>IF('Drivers'!$D$4="","",'Drivers'!$D$4)</x:f>
      </x:c>
      <x:c r="E258" s="69" t="n">
        <x:f>'STR Build'!Q$6</x:f>
        <x:v>46722</x:v>
      </x:c>
      <x:c r="F258" s="42" t="str">
        <x:f>IF('Drivers'!$D$10="","",'Drivers'!$D$10)</x:f>
        <x:v>Working Draft</x:v>
      </x:c>
      <x:c r="G258" s="42" t="str">
        <x:f>IF('GL Mapping'!I16="",'GL Mapping'!C16,'GL Mapping'!I16)</x:f>
        <x:v>620100</x:v>
      </x:c>
      <x:c r="H258" s="42" t="str">
        <x:v>Payroll</x:v>
      </x:c>
      <x:c r="I258" s="42" t="str">
        <x:f>IF('Drivers'!$D$11="","",'Drivers'!$D$11)</x:f>
        <x:v>Short-Term Rentals</x:v>
      </x:c>
      <x:c r="J258" s="42" t="str">
        <x:f>IF('Drivers'!$D$8="","",'Drivers'!$D$8)</x:f>
        <x:v>USD</x:v>
      </x:c>
      <x:c r="K258" s="42" t="str">
        <x:f>IF('Drivers'!$D$21="","",'Drivers'!$D$21)</x:f>
        <x:v>Calendar</x:v>
      </x:c>
      <x:c r="L258" s="42" t="str">
        <x:f>IF('Drivers'!$D$9="","",'Drivers'!$D$9)</x:f>
        <x:v>Accrual</x:v>
      </x:c>
      <x:c r="M258" s="70" t="str">
        <x:f>IF('Drivers'!$D$12="","",'Drivers'!$D$12)</x:f>
      </x:c>
      <x:c r="N258" s="42" t="str">
        <x:f>IF('Drivers'!$D$15="","",'Drivers'!$D$15)</x:f>
      </x:c>
      <x:c r="O258" s="42" t="str">
        <x:v>expense</x:v>
      </x:c>
      <x:c r="P258" s="42" t="str">
        <x:v>above_noi</x:v>
      </x:c>
      <x:c r="Q258" s="42" t="n">
        <x:v>1</x:v>
      </x:c>
      <x:c r="R258" s="51" t="str">
        <x:f>IF(V258="Closed: excluded","",IF(ISNUMBER('STR Build'!Q40),'STR Build'!Q40,""))</x:f>
      </x:c>
      <x:c r="S258" s="42" t="str">
        <x:v>STR Build!Q40</x:v>
      </x:c>
      <x:c r="T258" s="42" t="str">
        <x:v>Formula</x:v>
      </x:c>
      <x:c r="U258" s="67" t="str">
        <x:f>IF(ISNUMBER(R258),IF(R258=0,"Populated zero","Populated"),"Missing")</x:f>
        <x:v>Missing</x:v>
      </x:c>
      <x:c r="V258" s="67" t="str">
        <x:f>IF(AND(ISNUMBER('Drivers'!$D$12),E258&lt;='Drivers'!$D$12),"Closed: excluded","Open forecast")</x:f>
        <x:v>Open forecast</x:v>
      </x:c>
    </x:row>
    <x:row r="259" ht="22" customHeight="1">
      <x:c r="A259" s="42"/>
      <x:c r="B259" s="42"/>
      <x:c r="C259" s="42" t="str">
        <x:f>IF('Drivers'!$D$5="","",'Drivers'!$D$5)</x:f>
      </x:c>
      <x:c r="D259" s="42" t="str">
        <x:f>IF('Drivers'!$D$4="","",'Drivers'!$D$4)</x:f>
      </x:c>
      <x:c r="E259" s="69" t="n">
        <x:f>'STR Build'!Q$6</x:f>
        <x:v>46722</x:v>
      </x:c>
      <x:c r="F259" s="42" t="str">
        <x:f>IF('Drivers'!$D$10="","",'Drivers'!$D$10)</x:f>
        <x:v>Working Draft</x:v>
      </x:c>
      <x:c r="G259" s="42" t="str">
        <x:f>IF('GL Mapping'!I17="",'GL Mapping'!C17,'GL Mapping'!I17)</x:f>
        <x:v>630100</x:v>
      </x:c>
      <x:c r="H259" s="42" t="str">
        <x:v>Utilities</x:v>
      </x:c>
      <x:c r="I259" s="42" t="str">
        <x:f>IF('Drivers'!$D$11="","",'Drivers'!$D$11)</x:f>
        <x:v>Short-Term Rentals</x:v>
      </x:c>
      <x:c r="J259" s="42" t="str">
        <x:f>IF('Drivers'!$D$8="","",'Drivers'!$D$8)</x:f>
        <x:v>USD</x:v>
      </x:c>
      <x:c r="K259" s="42" t="str">
        <x:f>IF('Drivers'!$D$21="","",'Drivers'!$D$21)</x:f>
        <x:v>Calendar</x:v>
      </x:c>
      <x:c r="L259" s="42" t="str">
        <x:f>IF('Drivers'!$D$9="","",'Drivers'!$D$9)</x:f>
        <x:v>Accrual</x:v>
      </x:c>
      <x:c r="M259" s="70" t="str">
        <x:f>IF('Drivers'!$D$12="","",'Drivers'!$D$12)</x:f>
      </x:c>
      <x:c r="N259" s="42" t="str">
        <x:f>IF('Drivers'!$D$15="","",'Drivers'!$D$15)</x:f>
      </x:c>
      <x:c r="O259" s="42" t="str">
        <x:v>expense</x:v>
      </x:c>
      <x:c r="P259" s="42" t="str">
        <x:v>above_noi</x:v>
      </x:c>
      <x:c r="Q259" s="42" t="n">
        <x:v>1</x:v>
      </x:c>
      <x:c r="R259" s="51" t="str">
        <x:f>IF(V259="Closed: excluded","",IF(ISNUMBER('STR Build'!Q41),'STR Build'!Q41,""))</x:f>
      </x:c>
      <x:c r="S259" s="42" t="str">
        <x:v>STR Build!Q41</x:v>
      </x:c>
      <x:c r="T259" s="42" t="str">
        <x:v>Formula</x:v>
      </x:c>
      <x:c r="U259" s="67" t="str">
        <x:f>IF(ISNUMBER(R259),IF(R259=0,"Populated zero","Populated"),"Missing")</x:f>
        <x:v>Missing</x:v>
      </x:c>
      <x:c r="V259" s="67" t="str">
        <x:f>IF(AND(ISNUMBER('Drivers'!$D$12),E259&lt;='Drivers'!$D$12),"Closed: excluded","Open forecast")</x:f>
        <x:v>Open forecast</x:v>
      </x:c>
    </x:row>
    <x:row r="260" ht="22" customHeight="1">
      <x:c r="A260" s="42"/>
      <x:c r="B260" s="42"/>
      <x:c r="C260" s="42" t="str">
        <x:f>IF('Drivers'!$D$5="","",'Drivers'!$D$5)</x:f>
      </x:c>
      <x:c r="D260" s="42" t="str">
        <x:f>IF('Drivers'!$D$4="","",'Drivers'!$D$4)</x:f>
      </x:c>
      <x:c r="E260" s="69" t="n">
        <x:f>'STR Build'!Q$6</x:f>
        <x:v>46722</x:v>
      </x:c>
      <x:c r="F260" s="42" t="str">
        <x:f>IF('Drivers'!$D$10="","",'Drivers'!$D$10)</x:f>
        <x:v>Working Draft</x:v>
      </x:c>
      <x:c r="G260" s="42" t="str">
        <x:f>IF('GL Mapping'!I18="",'GL Mapping'!C18,'GL Mapping'!I18)</x:f>
        <x:v>640100</x:v>
      </x:c>
      <x:c r="H260" s="42" t="str">
        <x:v>Contracts</x:v>
      </x:c>
      <x:c r="I260" s="42" t="str">
        <x:f>IF('Drivers'!$D$11="","",'Drivers'!$D$11)</x:f>
        <x:v>Short-Term Rentals</x:v>
      </x:c>
      <x:c r="J260" s="42" t="str">
        <x:f>IF('Drivers'!$D$8="","",'Drivers'!$D$8)</x:f>
        <x:v>USD</x:v>
      </x:c>
      <x:c r="K260" s="42" t="str">
        <x:f>IF('Drivers'!$D$21="","",'Drivers'!$D$21)</x:f>
        <x:v>Calendar</x:v>
      </x:c>
      <x:c r="L260" s="42" t="str">
        <x:f>IF('Drivers'!$D$9="","",'Drivers'!$D$9)</x:f>
        <x:v>Accrual</x:v>
      </x:c>
      <x:c r="M260" s="70" t="str">
        <x:f>IF('Drivers'!$D$12="","",'Drivers'!$D$12)</x:f>
      </x:c>
      <x:c r="N260" s="42" t="str">
        <x:f>IF('Drivers'!$D$15="","",'Drivers'!$D$15)</x:f>
      </x:c>
      <x:c r="O260" s="42" t="str">
        <x:v>expense</x:v>
      </x:c>
      <x:c r="P260" s="42" t="str">
        <x:v>above_noi</x:v>
      </x:c>
      <x:c r="Q260" s="42" t="n">
        <x:v>1</x:v>
      </x:c>
      <x:c r="R260" s="51" t="str">
        <x:f>IF(V260="Closed: excluded","",IF(ISNUMBER('STR Build'!Q42),'STR Build'!Q42,""))</x:f>
      </x:c>
      <x:c r="S260" s="42" t="str">
        <x:v>STR Build!Q42</x:v>
      </x:c>
      <x:c r="T260" s="42" t="str">
        <x:v>Formula</x:v>
      </x:c>
      <x:c r="U260" s="67" t="str">
        <x:f>IF(ISNUMBER(R260),IF(R260=0,"Populated zero","Populated"),"Missing")</x:f>
        <x:v>Missing</x:v>
      </x:c>
      <x:c r="V260" s="67" t="str">
        <x:f>IF(AND(ISNUMBER('Drivers'!$D$12),E260&lt;='Drivers'!$D$12),"Closed: excluded","Open forecast")</x:f>
        <x:v>Open forecast</x:v>
      </x:c>
    </x:row>
    <x:row r="261" ht="22" customHeight="1">
      <x:c r="A261" s="42"/>
      <x:c r="B261" s="42"/>
      <x:c r="C261" s="42" t="str">
        <x:f>IF('Drivers'!$D$5="","",'Drivers'!$D$5)</x:f>
      </x:c>
      <x:c r="D261" s="42" t="str">
        <x:f>IF('Drivers'!$D$4="","",'Drivers'!$D$4)</x:f>
      </x:c>
      <x:c r="E261" s="69" t="n">
        <x:f>'STR Build'!Q$6</x:f>
        <x:v>46722</x:v>
      </x:c>
      <x:c r="F261" s="42" t="str">
        <x:f>IF('Drivers'!$D$10="","",'Drivers'!$D$10)</x:f>
        <x:v>Working Draft</x:v>
      </x:c>
      <x:c r="G261" s="42" t="str">
        <x:f>IF('GL Mapping'!I19="",'GL Mapping'!C19,'GL Mapping'!I19)</x:f>
        <x:v>650100</x:v>
      </x:c>
      <x:c r="H261" s="42" t="str">
        <x:v>Marketing</x:v>
      </x:c>
      <x:c r="I261" s="42" t="str">
        <x:f>IF('Drivers'!$D$11="","",'Drivers'!$D$11)</x:f>
        <x:v>Short-Term Rentals</x:v>
      </x:c>
      <x:c r="J261" s="42" t="str">
        <x:f>IF('Drivers'!$D$8="","",'Drivers'!$D$8)</x:f>
        <x:v>USD</x:v>
      </x:c>
      <x:c r="K261" s="42" t="str">
        <x:f>IF('Drivers'!$D$21="","",'Drivers'!$D$21)</x:f>
        <x:v>Calendar</x:v>
      </x:c>
      <x:c r="L261" s="42" t="str">
        <x:f>IF('Drivers'!$D$9="","",'Drivers'!$D$9)</x:f>
        <x:v>Accrual</x:v>
      </x:c>
      <x:c r="M261" s="70" t="str">
        <x:f>IF('Drivers'!$D$12="","",'Drivers'!$D$12)</x:f>
      </x:c>
      <x:c r="N261" s="42" t="str">
        <x:f>IF('Drivers'!$D$15="","",'Drivers'!$D$15)</x:f>
      </x:c>
      <x:c r="O261" s="42" t="str">
        <x:v>expense</x:v>
      </x:c>
      <x:c r="P261" s="42" t="str">
        <x:v>above_noi</x:v>
      </x:c>
      <x:c r="Q261" s="42" t="n">
        <x:v>1</x:v>
      </x:c>
      <x:c r="R261" s="51" t="str">
        <x:f>IF(V261="Closed: excluded","",IF(ISNUMBER('STR Build'!Q43),'STR Build'!Q43,""))</x:f>
      </x:c>
      <x:c r="S261" s="42" t="str">
        <x:v>STR Build!Q43</x:v>
      </x:c>
      <x:c r="T261" s="42" t="str">
        <x:v>Formula</x:v>
      </x:c>
      <x:c r="U261" s="67" t="str">
        <x:f>IF(ISNUMBER(R261),IF(R261=0,"Populated zero","Populated"),"Missing")</x:f>
        <x:v>Missing</x:v>
      </x:c>
      <x:c r="V261" s="67" t="str">
        <x:f>IF(AND(ISNUMBER('Drivers'!$D$12),E261&lt;='Drivers'!$D$12),"Closed: excluded","Open forecast")</x:f>
        <x:v>Open forecast</x:v>
      </x:c>
    </x:row>
    <x:row r="262" ht="22" customHeight="1">
      <x:c r="A262" s="42"/>
      <x:c r="B262" s="42"/>
      <x:c r="C262" s="42" t="str">
        <x:f>IF('Drivers'!$D$5="","",'Drivers'!$D$5)</x:f>
      </x:c>
      <x:c r="D262" s="42" t="str">
        <x:f>IF('Drivers'!$D$4="","",'Drivers'!$D$4)</x:f>
      </x:c>
      <x:c r="E262" s="69" t="n">
        <x:f>'STR Build'!Q$6</x:f>
        <x:v>46722</x:v>
      </x:c>
      <x:c r="F262" s="42" t="str">
        <x:f>IF('Drivers'!$D$10="","",'Drivers'!$D$10)</x:f>
        <x:v>Working Draft</x:v>
      </x:c>
      <x:c r="G262" s="42" t="str">
        <x:f>IF('GL Mapping'!I20="",'GL Mapping'!C20,'GL Mapping'!I20)</x:f>
        <x:v>660100</x:v>
      </x:c>
      <x:c r="H262" s="42" t="str">
        <x:v>Maintenance</x:v>
      </x:c>
      <x:c r="I262" s="42" t="str">
        <x:f>IF('Drivers'!$D$11="","",'Drivers'!$D$11)</x:f>
        <x:v>Short-Term Rentals</x:v>
      </x:c>
      <x:c r="J262" s="42" t="str">
        <x:f>IF('Drivers'!$D$8="","",'Drivers'!$D$8)</x:f>
        <x:v>USD</x:v>
      </x:c>
      <x:c r="K262" s="42" t="str">
        <x:f>IF('Drivers'!$D$21="","",'Drivers'!$D$21)</x:f>
        <x:v>Calendar</x:v>
      </x:c>
      <x:c r="L262" s="42" t="str">
        <x:f>IF('Drivers'!$D$9="","",'Drivers'!$D$9)</x:f>
        <x:v>Accrual</x:v>
      </x:c>
      <x:c r="M262" s="70" t="str">
        <x:f>IF('Drivers'!$D$12="","",'Drivers'!$D$12)</x:f>
      </x:c>
      <x:c r="N262" s="42" t="str">
        <x:f>IF('Drivers'!$D$15="","",'Drivers'!$D$15)</x:f>
      </x:c>
      <x:c r="O262" s="42" t="str">
        <x:v>expense</x:v>
      </x:c>
      <x:c r="P262" s="42" t="str">
        <x:v>above_noi</x:v>
      </x:c>
      <x:c r="Q262" s="42" t="n">
        <x:v>1</x:v>
      </x:c>
      <x:c r="R262" s="51" t="str">
        <x:f>IF(V262="Closed: excluded","",IF(ISNUMBER('STR Build'!Q44),'STR Build'!Q44,""))</x:f>
      </x:c>
      <x:c r="S262" s="42" t="str">
        <x:v>STR Build!Q44</x:v>
      </x:c>
      <x:c r="T262" s="42" t="str">
        <x:v>Formula</x:v>
      </x:c>
      <x:c r="U262" s="67" t="str">
        <x:f>IF(ISNUMBER(R262),IF(R262=0,"Populated zero","Populated"),"Missing")</x:f>
        <x:v>Missing</x:v>
      </x:c>
      <x:c r="V262" s="67" t="str">
        <x:f>IF(AND(ISNUMBER('Drivers'!$D$12),E262&lt;='Drivers'!$D$12),"Closed: excluded","Open forecast")</x:f>
        <x:v>Open forecast</x:v>
      </x:c>
    </x:row>
    <x:row r="263" ht="22" customHeight="1">
      <x:c r="A263" s="42"/>
      <x:c r="B263" s="42"/>
      <x:c r="C263" s="42" t="str">
        <x:f>IF('Drivers'!$D$5="","",'Drivers'!$D$5)</x:f>
      </x:c>
      <x:c r="D263" s="42" t="str">
        <x:f>IF('Drivers'!$D$4="","",'Drivers'!$D$4)</x:f>
      </x:c>
      <x:c r="E263" s="69" t="n">
        <x:f>'STR Build'!Q$6</x:f>
        <x:v>46722</x:v>
      </x:c>
      <x:c r="F263" s="42" t="str">
        <x:f>IF('Drivers'!$D$10="","",'Drivers'!$D$10)</x:f>
        <x:v>Working Draft</x:v>
      </x:c>
      <x:c r="G263" s="42" t="str">
        <x:f>IF('GL Mapping'!I21="",'GL Mapping'!C21,'GL Mapping'!I21)</x:f>
        <x:v>670100</x:v>
      </x:c>
      <x:c r="H263" s="42" t="str">
        <x:v>Insurance</x:v>
      </x:c>
      <x:c r="I263" s="42" t="str">
        <x:f>IF('Drivers'!$D$11="","",'Drivers'!$D$11)</x:f>
        <x:v>Short-Term Rentals</x:v>
      </x:c>
      <x:c r="J263" s="42" t="str">
        <x:f>IF('Drivers'!$D$8="","",'Drivers'!$D$8)</x:f>
        <x:v>USD</x:v>
      </x:c>
      <x:c r="K263" s="42" t="str">
        <x:f>IF('Drivers'!$D$21="","",'Drivers'!$D$21)</x:f>
        <x:v>Calendar</x:v>
      </x:c>
      <x:c r="L263" s="42" t="str">
        <x:f>IF('Drivers'!$D$9="","",'Drivers'!$D$9)</x:f>
        <x:v>Accrual</x:v>
      </x:c>
      <x:c r="M263" s="70" t="str">
        <x:f>IF('Drivers'!$D$12="","",'Drivers'!$D$12)</x:f>
      </x:c>
      <x:c r="N263" s="42" t="str">
        <x:f>IF('Drivers'!$D$15="","",'Drivers'!$D$15)</x:f>
      </x:c>
      <x:c r="O263" s="42" t="str">
        <x:v>expense</x:v>
      </x:c>
      <x:c r="P263" s="42" t="str">
        <x:v>above_noi</x:v>
      </x:c>
      <x:c r="Q263" s="42" t="n">
        <x:v>1</x:v>
      </x:c>
      <x:c r="R263" s="51" t="str">
        <x:f>IF(V263="Closed: excluded","",IF(ISNUMBER('STR Build'!Q45),'STR Build'!Q45,""))</x:f>
      </x:c>
      <x:c r="S263" s="42" t="str">
        <x:v>STR Build!Q45</x:v>
      </x:c>
      <x:c r="T263" s="42" t="str">
        <x:v>Formula</x:v>
      </x:c>
      <x:c r="U263" s="67" t="str">
        <x:f>IF(ISNUMBER(R263),IF(R263=0,"Populated zero","Populated"),"Missing")</x:f>
        <x:v>Missing</x:v>
      </x:c>
      <x:c r="V263" s="67" t="str">
        <x:f>IF(AND(ISNUMBER('Drivers'!$D$12),E263&lt;='Drivers'!$D$12),"Closed: excluded","Open forecast")</x:f>
        <x:v>Open forecast</x:v>
      </x:c>
    </x:row>
    <x:row r="264" ht="22" customHeight="1">
      <x:c r="A264" s="42"/>
      <x:c r="B264" s="42"/>
      <x:c r="C264" s="42" t="str">
        <x:f>IF('Drivers'!$D$5="","",'Drivers'!$D$5)</x:f>
      </x:c>
      <x:c r="D264" s="42" t="str">
        <x:f>IF('Drivers'!$D$4="","",'Drivers'!$D$4)</x:f>
      </x:c>
      <x:c r="E264" s="69" t="n">
        <x:f>'STR Build'!Q$6</x:f>
        <x:v>46722</x:v>
      </x:c>
      <x:c r="F264" s="42" t="str">
        <x:f>IF('Drivers'!$D$10="","",'Drivers'!$D$10)</x:f>
        <x:v>Working Draft</x:v>
      </x:c>
      <x:c r="G264" s="42" t="str">
        <x:f>IF('GL Mapping'!I22="",'GL Mapping'!C22,'GL Mapping'!I22)</x:f>
        <x:v>680100</x:v>
      </x:c>
      <x:c r="H264" s="42" t="str">
        <x:v>Property taxes</x:v>
      </x:c>
      <x:c r="I264" s="42" t="str">
        <x:f>IF('Drivers'!$D$11="","",'Drivers'!$D$11)</x:f>
        <x:v>Short-Term Rentals</x:v>
      </x:c>
      <x:c r="J264" s="42" t="str">
        <x:f>IF('Drivers'!$D$8="","",'Drivers'!$D$8)</x:f>
        <x:v>USD</x:v>
      </x:c>
      <x:c r="K264" s="42" t="str">
        <x:f>IF('Drivers'!$D$21="","",'Drivers'!$D$21)</x:f>
        <x:v>Calendar</x:v>
      </x:c>
      <x:c r="L264" s="42" t="str">
        <x:f>IF('Drivers'!$D$9="","",'Drivers'!$D$9)</x:f>
        <x:v>Accrual</x:v>
      </x:c>
      <x:c r="M264" s="70" t="str">
        <x:f>IF('Drivers'!$D$12="","",'Drivers'!$D$12)</x:f>
      </x:c>
      <x:c r="N264" s="42" t="str">
        <x:f>IF('Drivers'!$D$15="","",'Drivers'!$D$15)</x:f>
      </x:c>
      <x:c r="O264" s="42" t="str">
        <x:v>expense</x:v>
      </x:c>
      <x:c r="P264" s="42" t="str">
        <x:v>above_noi</x:v>
      </x:c>
      <x:c r="Q264" s="42" t="n">
        <x:v>1</x:v>
      </x:c>
      <x:c r="R264" s="51" t="str">
        <x:f>IF(V264="Closed: excluded","",IF(ISNUMBER('STR Build'!Q46),'STR Build'!Q46,""))</x:f>
      </x:c>
      <x:c r="S264" s="42" t="str">
        <x:v>STR Build!Q46</x:v>
      </x:c>
      <x:c r="T264" s="42" t="str">
        <x:v>Formula</x:v>
      </x:c>
      <x:c r="U264" s="67" t="str">
        <x:f>IF(ISNUMBER(R264),IF(R264=0,"Populated zero","Populated"),"Missing")</x:f>
        <x:v>Missing</x:v>
      </x:c>
      <x:c r="V264" s="67" t="str">
        <x:f>IF(AND(ISNUMBER('Drivers'!$D$12),E264&lt;='Drivers'!$D$12),"Closed: excluded","Open forecast")</x:f>
        <x:v>Open forecast</x:v>
      </x:c>
    </x:row>
    <x:row r="265" ht="22" customHeight="1">
      <x:c r="A265" s="42"/>
      <x:c r="B265" s="42"/>
      <x:c r="C265" s="42" t="str">
        <x:f>IF('Drivers'!$D$5="","",'Drivers'!$D$5)</x:f>
      </x:c>
      <x:c r="D265" s="42" t="str">
        <x:f>IF('Drivers'!$D$4="","",'Drivers'!$D$4)</x:f>
      </x:c>
      <x:c r="E265" s="69" t="n">
        <x:f>'STR Build'!Q$6</x:f>
        <x:v>46722</x:v>
      </x:c>
      <x:c r="F265" s="42" t="str">
        <x:f>IF('Drivers'!$D$10="","",'Drivers'!$D$10)</x:f>
        <x:v>Working Draft</x:v>
      </x:c>
      <x:c r="G265" s="42" t="str">
        <x:f>IF('GL Mapping'!I23="",'GL Mapping'!C23,'GL Mapping'!I23)</x:f>
        <x:v>690100</x:v>
      </x:c>
      <x:c r="H265" s="42" t="str">
        <x:v>Other operating expenses</x:v>
      </x:c>
      <x:c r="I265" s="42" t="str">
        <x:f>IF('Drivers'!$D$11="","",'Drivers'!$D$11)</x:f>
        <x:v>Short-Term Rentals</x:v>
      </x:c>
      <x:c r="J265" s="42" t="str">
        <x:f>IF('Drivers'!$D$8="","",'Drivers'!$D$8)</x:f>
        <x:v>USD</x:v>
      </x:c>
      <x:c r="K265" s="42" t="str">
        <x:f>IF('Drivers'!$D$21="","",'Drivers'!$D$21)</x:f>
        <x:v>Calendar</x:v>
      </x:c>
      <x:c r="L265" s="42" t="str">
        <x:f>IF('Drivers'!$D$9="","",'Drivers'!$D$9)</x:f>
        <x:v>Accrual</x:v>
      </x:c>
      <x:c r="M265" s="70" t="str">
        <x:f>IF('Drivers'!$D$12="","",'Drivers'!$D$12)</x:f>
      </x:c>
      <x:c r="N265" s="42" t="str">
        <x:f>IF('Drivers'!$D$15="","",'Drivers'!$D$15)</x:f>
      </x:c>
      <x:c r="O265" s="42" t="str">
        <x:v>expense</x:v>
      </x:c>
      <x:c r="P265" s="42" t="str">
        <x:v>above_noi</x:v>
      </x:c>
      <x:c r="Q265" s="42" t="n">
        <x:v>1</x:v>
      </x:c>
      <x:c r="R265" s="51" t="str">
        <x:f>IF(V265="Closed: excluded","",IF(ISNUMBER('STR Build'!Q47),'STR Build'!Q47,""))</x:f>
      </x:c>
      <x:c r="S265" s="42" t="str">
        <x:v>STR Build!Q47</x:v>
      </x:c>
      <x:c r="T265" s="42" t="str">
        <x:v>Formula</x:v>
      </x:c>
      <x:c r="U265" s="67" t="str">
        <x:f>IF(ISNUMBER(R265),IF(R265=0,"Populated zero","Populated"),"Missing")</x:f>
        <x:v>Missing</x:v>
      </x:c>
      <x:c r="V265" s="67" t="str">
        <x:f>IF(AND(ISNUMBER('Drivers'!$D$12),E265&lt;='Drivers'!$D$12),"Closed: excluded","Open forecast")</x:f>
        <x:v>Open forecast</x:v>
      </x:c>
    </x:row>
    <x:row r="266" ht="22" customHeight="1">
      <x:c r="A266" s="42"/>
      <x:c r="B266" s="42"/>
      <x:c r="C266" s="42" t="str">
        <x:f>IF('Drivers'!$D$5="","",'Drivers'!$D$5)</x:f>
      </x:c>
      <x:c r="D266" s="42" t="str">
        <x:f>IF('Drivers'!$D$4="","",'Drivers'!$D$4)</x:f>
      </x:c>
      <x:c r="E266" s="69" t="n">
        <x:f>'STR Build'!Q$6</x:f>
        <x:v>46722</x:v>
      </x:c>
      <x:c r="F266" s="42" t="str">
        <x:f>IF('Drivers'!$D$10="","",'Drivers'!$D$10)</x:f>
        <x:v>Working Draft</x:v>
      </x:c>
      <x:c r="G266" s="42" t="str">
        <x:f>IF('GL Mapping'!I24="",'GL Mapping'!C24,'GL Mapping'!I24)</x:f>
        <x:v>710100</x:v>
      </x:c>
      <x:c r="H266" s="42" t="str">
        <x:v>Other below-NOI cash costs</x:v>
      </x:c>
      <x:c r="I266" s="42" t="str">
        <x:f>IF('Drivers'!$D$11="","",'Drivers'!$D$11)</x:f>
        <x:v>Short-Term Rentals</x:v>
      </x:c>
      <x:c r="J266" s="42" t="str">
        <x:f>IF('Drivers'!$D$8="","",'Drivers'!$D$8)</x:f>
        <x:v>USD</x:v>
      </x:c>
      <x:c r="K266" s="42" t="str">
        <x:f>IF('Drivers'!$D$21="","",'Drivers'!$D$21)</x:f>
        <x:v>Calendar</x:v>
      </x:c>
      <x:c r="L266" s="42" t="str">
        <x:f>IF('Drivers'!$D$9="","",'Drivers'!$D$9)</x:f>
        <x:v>Accrual</x:v>
      </x:c>
      <x:c r="M266" s="70" t="str">
        <x:f>IF('Drivers'!$D$12="","",'Drivers'!$D$12)</x:f>
      </x:c>
      <x:c r="N266" s="42" t="str">
        <x:f>IF('Drivers'!$D$15="","",'Drivers'!$D$15)</x:f>
      </x:c>
      <x:c r="O266" s="42" t="str">
        <x:v>below_noi</x:v>
      </x:c>
      <x:c r="P266" s="42" t="str">
        <x:v>below_noi</x:v>
      </x:c>
      <x:c r="Q266" s="42" t="n">
        <x:v>1</x:v>
      </x:c>
      <x:c r="R266" s="51" t="str">
        <x:f>IF(V266="Closed: excluded","",IF(ISNUMBER('STR Build'!Q55),'STR Build'!Q55,""))</x:f>
      </x:c>
      <x:c r="S266" s="42" t="str">
        <x:v>STR Build!Q55</x:v>
      </x:c>
      <x:c r="T266" s="42" t="str">
        <x:v>Formula</x:v>
      </x:c>
      <x:c r="U266" s="67" t="str">
        <x:f>IF(ISNUMBER(R266),IF(R266=0,"Populated zero","Populated"),"Missing")</x:f>
        <x:v>Missing</x:v>
      </x:c>
      <x:c r="V266" s="67" t="str">
        <x:f>IF(AND(ISNUMBER('Drivers'!$D$12),E266&lt;='Drivers'!$D$12),"Closed: excluded","Open forecast")</x:f>
        <x:v>Open forecast</x:v>
      </x:c>
    </x:row>
    <x:row r="267" ht="22" customHeight="1">
      <x:c r="A267" s="42"/>
      <x:c r="B267" s="42"/>
      <x:c r="C267" s="42" t="str">
        <x:f>IF('Drivers'!$D$5="","",'Drivers'!$D$5)</x:f>
      </x:c>
      <x:c r="D267" s="42" t="str">
        <x:f>IF('Drivers'!$D$4="","",'Drivers'!$D$4)</x:f>
      </x:c>
      <x:c r="E267" s="69" t="n">
        <x:f>'STR Build'!Q$6</x:f>
        <x:v>46722</x:v>
      </x:c>
      <x:c r="F267" s="42" t="str">
        <x:f>IF('Drivers'!$D$10="","",'Drivers'!$D$10)</x:f>
        <x:v>Working Draft</x:v>
      </x:c>
      <x:c r="G267" s="42" t="str">
        <x:f>IF('GL Mapping'!I25="",'GL Mapping'!C25,'GL Mapping'!I25)</x:f>
        <x:v>720100</x:v>
      </x:c>
      <x:c r="H267" s="42" t="str">
        <x:v>Debt interest</x:v>
      </x:c>
      <x:c r="I267" s="42" t="str">
        <x:f>IF('Drivers'!$D$11="","",'Drivers'!$D$11)</x:f>
        <x:v>Short-Term Rentals</x:v>
      </x:c>
      <x:c r="J267" s="42" t="str">
        <x:f>IF('Drivers'!$D$8="","",'Drivers'!$D$8)</x:f>
        <x:v>USD</x:v>
      </x:c>
      <x:c r="K267" s="42" t="str">
        <x:f>IF('Drivers'!$D$21="","",'Drivers'!$D$21)</x:f>
        <x:v>Calendar</x:v>
      </x:c>
      <x:c r="L267" s="42" t="str">
        <x:f>IF('Drivers'!$D$9="","",'Drivers'!$D$9)</x:f>
        <x:v>Accrual</x:v>
      </x:c>
      <x:c r="M267" s="70" t="str">
        <x:f>IF('Drivers'!$D$12="","",'Drivers'!$D$12)</x:f>
      </x:c>
      <x:c r="N267" s="42" t="str">
        <x:f>IF('Drivers'!$D$15="","",'Drivers'!$D$15)</x:f>
      </x:c>
      <x:c r="O267" s="42" t="str">
        <x:v>debt</x:v>
      </x:c>
      <x:c r="P267" s="42" t="str">
        <x:v>below_noi</x:v>
      </x:c>
      <x:c r="Q267" s="42" t="n">
        <x:v>1</x:v>
      </x:c>
      <x:c r="R267" s="51" t="str">
        <x:f>IF(V267="Closed: excluded","",IF(ISNUMBER('STR Build'!Q56),'STR Build'!Q56,""))</x:f>
      </x:c>
      <x:c r="S267" s="42" t="str">
        <x:v>STR Build!Q56</x:v>
      </x:c>
      <x:c r="T267" s="42" t="str">
        <x:v>Formula</x:v>
      </x:c>
      <x:c r="U267" s="67" t="str">
        <x:f>IF(ISNUMBER(R267),IF(R267=0,"Populated zero","Populated"),"Missing")</x:f>
        <x:v>Missing</x:v>
      </x:c>
      <x:c r="V267" s="67" t="str">
        <x:f>IF(AND(ISNUMBER('Drivers'!$D$12),E267&lt;='Drivers'!$D$12),"Closed: excluded","Open forecast")</x:f>
        <x:v>Open forecast</x:v>
      </x:c>
    </x:row>
    <x:row r="268" ht="22" customHeight="1">
      <x:c r="A268" s="42"/>
      <x:c r="B268" s="42"/>
      <x:c r="C268" s="42" t="str">
        <x:f>IF('Drivers'!$D$5="","",'Drivers'!$D$5)</x:f>
      </x:c>
      <x:c r="D268" s="42" t="str">
        <x:f>IF('Drivers'!$D$4="","",'Drivers'!$D$4)</x:f>
      </x:c>
      <x:c r="E268" s="69" t="n">
        <x:f>'STR Build'!Q$6</x:f>
        <x:v>46722</x:v>
      </x:c>
      <x:c r="F268" s="42" t="str">
        <x:f>IF('Drivers'!$D$10="","",'Drivers'!$D$10)</x:f>
        <x:v>Working Draft</x:v>
      </x:c>
      <x:c r="G268" s="42" t="str">
        <x:f>IF('GL Mapping'!I26="",'GL Mapping'!C26,'GL Mapping'!I26)</x:f>
        <x:v>720200</x:v>
      </x:c>
      <x:c r="H268" s="42" t="str">
        <x:v>Debt principal</x:v>
      </x:c>
      <x:c r="I268" s="42" t="str">
        <x:f>IF('Drivers'!$D$11="","",'Drivers'!$D$11)</x:f>
        <x:v>Short-Term Rentals</x:v>
      </x:c>
      <x:c r="J268" s="42" t="str">
        <x:f>IF('Drivers'!$D$8="","",'Drivers'!$D$8)</x:f>
        <x:v>USD</x:v>
      </x:c>
      <x:c r="K268" s="42" t="str">
        <x:f>IF('Drivers'!$D$21="","",'Drivers'!$D$21)</x:f>
        <x:v>Calendar</x:v>
      </x:c>
      <x:c r="L268" s="42" t="str">
        <x:f>IF('Drivers'!$D$9="","",'Drivers'!$D$9)</x:f>
        <x:v>Accrual</x:v>
      </x:c>
      <x:c r="M268" s="70" t="str">
        <x:f>IF('Drivers'!$D$12="","",'Drivers'!$D$12)</x:f>
      </x:c>
      <x:c r="N268" s="42" t="str">
        <x:f>IF('Drivers'!$D$15="","",'Drivers'!$D$15)</x:f>
      </x:c>
      <x:c r="O268" s="42" t="str">
        <x:v>debt</x:v>
      </x:c>
      <x:c r="P268" s="42" t="str">
        <x:v>below_noi</x:v>
      </x:c>
      <x:c r="Q268" s="42" t="n">
        <x:v>1</x:v>
      </x:c>
      <x:c r="R268" s="51" t="str">
        <x:f>IF(V268="Closed: excluded","",IF(ISNUMBER('STR Build'!Q57),'STR Build'!Q57,""))</x:f>
      </x:c>
      <x:c r="S268" s="42" t="str">
        <x:v>STR Build!Q57</x:v>
      </x:c>
      <x:c r="T268" s="42" t="str">
        <x:v>Formula</x:v>
      </x:c>
      <x:c r="U268" s="67" t="str">
        <x:f>IF(ISNUMBER(R268),IF(R268=0,"Populated zero","Populated"),"Missing")</x:f>
        <x:v>Missing</x:v>
      </x:c>
      <x:c r="V268" s="67" t="str">
        <x:f>IF(AND(ISNUMBER('Drivers'!$D$12),E268&lt;='Drivers'!$D$12),"Closed: excluded","Open forecast")</x:f>
        <x:v>Open forecast</x:v>
      </x:c>
    </x:row>
    <x:row r="269" ht="22" customHeight="1">
      <x:c r="A269" s="42"/>
      <x:c r="B269" s="42"/>
      <x:c r="C269" s="42" t="str">
        <x:f>IF('Drivers'!$D$5="","",'Drivers'!$D$5)</x:f>
      </x:c>
      <x:c r="D269" s="42" t="str">
        <x:f>IF('Drivers'!$D$4="","",'Drivers'!$D$4)</x:f>
      </x:c>
      <x:c r="E269" s="69" t="n">
        <x:f>'STR Build'!Q$6</x:f>
        <x:v>46722</x:v>
      </x:c>
      <x:c r="F269" s="42" t="str">
        <x:f>IF('Drivers'!$D$10="","",'Drivers'!$D$10)</x:f>
        <x:v>Working Draft</x:v>
      </x:c>
      <x:c r="G269" s="42" t="str">
        <x:f>IF('GL Mapping'!I27="",'GL Mapping'!C27,'GL Mapping'!I27)</x:f>
        <x:v>730100</x:v>
      </x:c>
      <x:c r="H269" s="42" t="str">
        <x:v>Capital expenditure</x:v>
      </x:c>
      <x:c r="I269" s="42" t="str">
        <x:f>IF('Drivers'!$D$11="","",'Drivers'!$D$11)</x:f>
        <x:v>Short-Term Rentals</x:v>
      </x:c>
      <x:c r="J269" s="42" t="str">
        <x:f>IF('Drivers'!$D$8="","",'Drivers'!$D$8)</x:f>
        <x:v>USD</x:v>
      </x:c>
      <x:c r="K269" s="42" t="str">
        <x:f>IF('Drivers'!$D$21="","",'Drivers'!$D$21)</x:f>
        <x:v>Calendar</x:v>
      </x:c>
      <x:c r="L269" s="42" t="str">
        <x:f>IF('Drivers'!$D$9="","",'Drivers'!$D$9)</x:f>
        <x:v>Accrual</x:v>
      </x:c>
      <x:c r="M269" s="70" t="str">
        <x:f>IF('Drivers'!$D$12="","",'Drivers'!$D$12)</x:f>
      </x:c>
      <x:c r="N269" s="42" t="str">
        <x:f>IF('Drivers'!$D$15="","",'Drivers'!$D$15)</x:f>
      </x:c>
      <x:c r="O269" s="42" t="str">
        <x:v>capital</x:v>
      </x:c>
      <x:c r="P269" s="42" t="str">
        <x:v>below_noi</x:v>
      </x:c>
      <x:c r="Q269" s="42" t="n">
        <x:v>1</x:v>
      </x:c>
      <x:c r="R269" s="51" t="str">
        <x:f>IF(V269="Closed: excluded","",IF(ISNUMBER('STR Build'!Q58),'STR Build'!Q58,""))</x:f>
      </x:c>
      <x:c r="S269" s="42" t="str">
        <x:v>STR Build!Q58</x:v>
      </x:c>
      <x:c r="T269" s="42" t="str">
        <x:v>Formula</x:v>
      </x:c>
      <x:c r="U269" s="67" t="str">
        <x:f>IF(ISNUMBER(R269),IF(R269=0,"Populated zero","Populated"),"Missing")</x:f>
        <x:v>Missing</x:v>
      </x:c>
      <x:c r="V269" s="67" t="str">
        <x:f>IF(AND(ISNUMBER('Drivers'!$D$12),E269&lt;='Drivers'!$D$12),"Closed: excluded","Open forecast")</x:f>
        <x:v>Open forecast</x:v>
      </x:c>
    </x:row>
    <x:row r="270" ht="22" customHeight="1">
      <x:c r="A270" s="42"/>
      <x:c r="B270" s="42"/>
      <x:c r="C270" s="42" t="str">
        <x:f>IF('Drivers'!$D$5="","",'Drivers'!$D$5)</x:f>
      </x:c>
      <x:c r="D270" s="42" t="str">
        <x:f>IF('Drivers'!$D$4="","",'Drivers'!$D$4)</x:f>
      </x:c>
      <x:c r="E270" s="69" t="n">
        <x:f>'STR Build'!Q$6</x:f>
        <x:v>46722</x:v>
      </x:c>
      <x:c r="F270" s="42" t="str">
        <x:f>IF('Drivers'!$D$10="","",'Drivers'!$D$10)</x:f>
        <x:v>Working Draft</x:v>
      </x:c>
      <x:c r="G270" s="42" t="str">
        <x:f>IF('GL Mapping'!I28="",'GL Mapping'!C28,'GL Mapping'!I28)</x:f>
        <x:v>740100</x:v>
      </x:c>
      <x:c r="H270" s="42" t="str">
        <x:v>Working-capital cash use</x:v>
      </x:c>
      <x:c r="I270" s="42" t="str">
        <x:f>IF('Drivers'!$D$11="","",'Drivers'!$D$11)</x:f>
        <x:v>Short-Term Rentals</x:v>
      </x:c>
      <x:c r="J270" s="42" t="str">
        <x:f>IF('Drivers'!$D$8="","",'Drivers'!$D$8)</x:f>
        <x:v>USD</x:v>
      </x:c>
      <x:c r="K270" s="42" t="str">
        <x:f>IF('Drivers'!$D$21="","",'Drivers'!$D$21)</x:f>
        <x:v>Calendar</x:v>
      </x:c>
      <x:c r="L270" s="42" t="str">
        <x:f>IF('Drivers'!$D$9="","",'Drivers'!$D$9)</x:f>
        <x:v>Accrual</x:v>
      </x:c>
      <x:c r="M270" s="70" t="str">
        <x:f>IF('Drivers'!$D$12="","",'Drivers'!$D$12)</x:f>
      </x:c>
      <x:c r="N270" s="42" t="str">
        <x:f>IF('Drivers'!$D$15="","",'Drivers'!$D$15)</x:f>
      </x:c>
      <x:c r="O270" s="42" t="str">
        <x:v>below_noi</x:v>
      </x:c>
      <x:c r="P270" s="42" t="str">
        <x:v>below_noi</x:v>
      </x:c>
      <x:c r="Q270" s="42" t="n">
        <x:v>1</x:v>
      </x:c>
      <x:c r="R270" s="51" t="str">
        <x:f>IF(V270="Closed: excluded","",IF(ISNUMBER('STR Build'!Q59),'STR Build'!Q59,""))</x:f>
      </x:c>
      <x:c r="S270" s="42" t="str">
        <x:v>STR Build!Q59</x:v>
      </x:c>
      <x:c r="T270" s="42" t="str">
        <x:v>Formula</x:v>
      </x:c>
      <x:c r="U270" s="67" t="str">
        <x:f>IF(ISNUMBER(R270),IF(R270=0,"Populated zero","Populated"),"Missing")</x:f>
        <x:v>Missing</x:v>
      </x:c>
      <x:c r="V270" s="67" t="str">
        <x:f>IF(AND(ISNUMBER('Drivers'!$D$12),E270&lt;='Drivers'!$D$12),"Closed: excluded","Open forecast")</x:f>
        <x:v>Open forecast</x:v>
      </x:c>
    </x:row>
    <x:row r="271" ht="22" customHeight="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67"/>
      <x:c r="V271" s="67"/>
    </x:row>
    <x:row r="272" ht="22" customHeight="1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67"/>
      <x:c r="V272" s="67"/>
    </x:row>
    <x:row r="273" ht="22" customHeight="1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67"/>
      <x:c r="V273" s="67"/>
    </x:row>
    <x:row r="274" ht="22" customHeight="1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67"/>
      <x:c r="V274" s="67"/>
    </x:row>
    <x:row r="275" ht="22" customHeight="1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67"/>
      <x:c r="V275" s="67"/>
    </x:row>
    <x:row r="276" ht="22" customHeight="1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67"/>
      <x:c r="V276" s="67"/>
    </x:row>
    <x:row r="277" ht="22" customHeight="1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67"/>
      <x:c r="V277" s="67"/>
    </x:row>
    <x:row r="278" ht="22" customHeight="1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67"/>
      <x:c r="V278" s="67"/>
    </x:row>
    <x:row r="279" ht="22" customHeight="1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67"/>
      <x:c r="V279" s="67"/>
    </x:row>
    <x:row r="280" ht="22" customHeight="1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67"/>
      <x:c r="V280" s="67"/>
    </x:row>
    <x:row r="281" ht="22" customHeight="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67"/>
      <x:c r="V281" s="67"/>
    </x:row>
    <x:row r="282" ht="22" customHeight="1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67"/>
      <x:c r="V282" s="67"/>
    </x:row>
    <x:row r="283" ht="22" customHeight="1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67"/>
      <x:c r="V283" s="67"/>
    </x:row>
    <x:row r="284" ht="22" customHeight="1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67"/>
      <x:c r="V284" s="67"/>
    </x:row>
    <x:row r="285" ht="22" customHeight="1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67"/>
      <x:c r="V285" s="67"/>
    </x:row>
    <x:row r="286" ht="22" customHeight="1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67"/>
      <x:c r="V286" s="67"/>
    </x:row>
    <x:row r="287" ht="22" customHeight="1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67"/>
      <x:c r="V287" s="67"/>
    </x:row>
    <x:row r="288" ht="22" customHeight="1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67"/>
      <x:c r="V288" s="67"/>
    </x:row>
    <x:row r="289" ht="22" customHeight="1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67"/>
      <x:c r="V289" s="67"/>
    </x:row>
    <x:row r="290" ht="22" customHeight="1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67"/>
      <x:c r="V290" s="67"/>
    </x:row>
    <x:row r="291" ht="22" customHeight="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67"/>
      <x:c r="V291" s="67"/>
    </x:row>
    <x:row r="292" ht="22" customHeight="1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67"/>
      <x:c r="V292" s="67"/>
    </x:row>
    <x:row r="293" ht="22" customHeight="1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67"/>
      <x:c r="V293" s="67"/>
    </x:row>
    <x:row r="294" ht="22" customHeight="1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67"/>
      <x:c r="V294" s="67"/>
    </x:row>
    <x:row r="295" ht="22" customHeight="1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67"/>
      <x:c r="V295" s="67"/>
    </x:row>
    <x:row r="296" ht="22" customHeight="1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67"/>
      <x:c r="V296" s="67"/>
    </x:row>
    <x:row r="297" ht="22" customHeight="1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67"/>
      <x:c r="V297" s="67"/>
    </x:row>
    <x:row r="298" ht="22" customHeight="1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67"/>
      <x:c r="V298" s="67"/>
    </x:row>
    <x:row r="299" ht="22" customHeight="1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67"/>
      <x:c r="V299" s="67"/>
    </x:row>
    <x:row r="300" ht="22" customHeight="1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67"/>
      <x:c r="V300" s="67"/>
    </x:row>
    <x:row r="301" ht="22" customHeight="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67"/>
      <x:c r="V301" s="67"/>
    </x:row>
    <x:row r="302" ht="22" customHeight="1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67"/>
      <x:c r="V302" s="67"/>
    </x:row>
    <x:row r="303" ht="22" customHeight="1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67"/>
      <x:c r="V303" s="67"/>
    </x:row>
    <x:row r="304" ht="22" customHeight="1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67"/>
      <x:c r="V304" s="67"/>
    </x:row>
    <x:row r="305" ht="22" customHeight="1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67"/>
      <x:c r="V305" s="67"/>
    </x:row>
    <x:row r="306" ht="22" customHeight="1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67"/>
      <x:c r="V306" s="67"/>
    </x:row>
    <x:row r="307" ht="22" customHeight="1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67"/>
      <x:c r="V307" s="67"/>
    </x:row>
    <x:row r="308" ht="22" customHeight="1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67"/>
      <x:c r="V308" s="67"/>
    </x:row>
    <x:row r="309" ht="22" customHeight="1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67"/>
      <x:c r="V309" s="67"/>
    </x:row>
    <x:row r="310" ht="22" customHeight="1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67"/>
      <x:c r="V310" s="67"/>
    </x:row>
    <x:row r="311" ht="22" customHeight="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67"/>
      <x:c r="V311" s="67"/>
    </x:row>
    <x:row r="312" ht="22" customHeight="1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67"/>
      <x:c r="V312" s="67"/>
    </x:row>
    <x:row r="313" ht="22" customHeight="1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67"/>
      <x:c r="V313" s="67"/>
    </x:row>
    <x:row r="314" ht="22" customHeight="1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67"/>
      <x:c r="V314" s="67"/>
    </x:row>
    <x:row r="315" ht="22" customHeight="1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67"/>
      <x:c r="V315" s="67"/>
    </x:row>
    <x:row r="316" ht="22" customHeight="1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67"/>
      <x:c r="V316" s="67"/>
    </x:row>
    <x:row r="317" ht="22" customHeight="1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67"/>
      <x:c r="V317" s="67"/>
    </x:row>
    <x:row r="318" ht="22" customHeight="1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67"/>
      <x:c r="V318" s="67"/>
    </x:row>
    <x:row r="319" ht="22" customHeight="1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67"/>
      <x:c r="V319" s="67"/>
    </x:row>
    <x:row r="320" ht="22" customHeight="1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67"/>
      <x:c r="V320" s="67"/>
    </x:row>
    <x:row r="321" ht="22" customHeight="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67"/>
      <x:c r="V321" s="67"/>
    </x:row>
    <x:row r="322" ht="22" customHeight="1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67"/>
      <x:c r="V322" s="67"/>
    </x:row>
    <x:row r="323" ht="22" customHeight="1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67"/>
      <x:c r="V323" s="67"/>
    </x:row>
    <x:row r="324" ht="22" customHeight="1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67"/>
      <x:c r="V324" s="67"/>
    </x:row>
    <x:row r="325" ht="22" customHeight="1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67"/>
      <x:c r="V325" s="67"/>
    </x:row>
    <x:row r="326" ht="22" customHeight="1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67"/>
      <x:c r="V326" s="67"/>
    </x:row>
    <x:row r="327" ht="22" customHeight="1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67"/>
      <x:c r="V327" s="67"/>
    </x:row>
    <x:row r="328" ht="22" customHeight="1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67"/>
      <x:c r="V328" s="67"/>
    </x:row>
    <x:row r="329" ht="22" customHeight="1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67"/>
      <x:c r="V329" s="67"/>
    </x:row>
    <x:row r="330" ht="22" customHeight="1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67"/>
      <x:c r="V330" s="67"/>
    </x:row>
  </x:sheetData>
  <x:pageMargins left="0.7" right="0.7" top="0.75" bottom="0.75" header="0.3" footer="0.3"/>
  <x:tableParts count="1">
    <x:tablePart xmlns:r="http://schemas.openxmlformats.org/officeDocument/2006/relationships" r:id="Rd728cee189be403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" hidden="0" customWidth="1"/>
    <x:col min="19" max="19" width="58" hidden="0" customWidth="1"/>
  </x:cols>
  <x:sheetData>
    <x:row r="1" ht="22" customHeight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22" customHeight="1">
      <x:c r="A2" s="42"/>
      <x:c r="B2" s="42"/>
      <x:c r="C2" s="43" t="str">
        <x:v>Checks</x:v>
      </x:c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2"/>
      <x:c r="S2" s="42"/>
      <x:c r="T2" s="42"/>
    </x:row>
    <x:row r="3" ht="22" customHeight="1">
      <x:c r="A3" s="42"/>
      <x:c r="B3" s="42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2"/>
      <x:c r="S3" s="42"/>
      <x:c r="T3" s="42"/>
    </x:row>
    <x:row r="4" ht="22" customHeight="1">
      <x:c r="A4" s="42"/>
      <x:c r="B4" s="42"/>
      <x:c r="C4" s="42" t="str">
        <x:v>Checks review the model. They do not feed calculations or approve imports.</x:v>
      </x:c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</x:row>
    <x:row r="5" ht="22" customHeight="1">
      <x:c r="A5" s="42"/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</x:row>
    <x:row r="6" ht="22" customHeight="1">
      <x:c r="A6" s="42"/>
      <x:c r="B6" s="42"/>
      <x:c r="C6" s="46" t="str">
        <x:v>Measure</x:v>
      </x:c>
      <x:c r="D6" s="46" t="str"/>
      <x:c r="E6" s="42"/>
      <x:c r="F6" s="47" t="n">
        <x:f>DATE('Drivers'!$D$6,'Drivers'!$D$7+0,1)</x:f>
        <x:v>46388</x:v>
      </x:c>
      <x:c r="G6" s="47" t="n">
        <x:f>DATE('Drivers'!$D$6,'Drivers'!$D$7+1,1)</x:f>
        <x:v>46419</x:v>
      </x:c>
      <x:c r="H6" s="47" t="n">
        <x:f>DATE('Drivers'!$D$6,'Drivers'!$D$7+2,1)</x:f>
        <x:v>46447</x:v>
      </x:c>
      <x:c r="I6" s="47" t="n">
        <x:f>DATE('Drivers'!$D$6,'Drivers'!$D$7+3,1)</x:f>
        <x:v>46478</x:v>
      </x:c>
      <x:c r="J6" s="47" t="n">
        <x:f>DATE('Drivers'!$D$6,'Drivers'!$D$7+4,1)</x:f>
        <x:v>46508</x:v>
      </x:c>
      <x:c r="K6" s="47" t="n">
        <x:f>DATE('Drivers'!$D$6,'Drivers'!$D$7+5,1)</x:f>
        <x:v>46539</x:v>
      </x:c>
      <x:c r="L6" s="47" t="n">
        <x:f>DATE('Drivers'!$D$6,'Drivers'!$D$7+6,1)</x:f>
        <x:v>46569</x:v>
      </x:c>
      <x:c r="M6" s="47" t="n">
        <x:f>DATE('Drivers'!$D$6,'Drivers'!$D$7+7,1)</x:f>
        <x:v>46600</x:v>
      </x:c>
      <x:c r="N6" s="47" t="n">
        <x:f>DATE('Drivers'!$D$6,'Drivers'!$D$7+8,1)</x:f>
        <x:v>46631</x:v>
      </x:c>
      <x:c r="O6" s="47" t="n">
        <x:f>DATE('Drivers'!$D$6,'Drivers'!$D$7+9,1)</x:f>
        <x:v>46661</x:v>
      </x:c>
      <x:c r="P6" s="47" t="n">
        <x:f>DATE('Drivers'!$D$6,'Drivers'!$D$7+10,1)</x:f>
        <x:v>46692</x:v>
      </x:c>
      <x:c r="Q6" s="47" t="n">
        <x:f>DATE('Drivers'!$D$6,'Drivers'!$D$7+11,1)</x:f>
        <x:v>46722</x:v>
      </x:c>
      <x:c r="R6" s="42"/>
      <x:c r="S6" s="42"/>
      <x:c r="T6" s="42"/>
    </x:row>
    <x:row r="7" ht="22" customHeight="1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</x:row>
    <x:row r="8" ht="22" customHeight="1">
      <x:c r="A8" s="42"/>
      <x:c r="B8" s="42"/>
      <x:c r="C8" s="42" t="str">
        <x:v>Required monthly inputs missing</x:v>
      </x:c>
      <x:c r="D8" s="42"/>
      <x:c r="E8" s="42"/>
      <x:c r="F8" s="71" t="n">
        <x:f>27-COUNT('Drivers'!F28:F54)</x:f>
        <x:v>27</x:v>
      </x:c>
      <x:c r="G8" s="71" t="n">
        <x:f>27-COUNT('Drivers'!G28:G54)</x:f>
        <x:v>27</x:v>
      </x:c>
      <x:c r="H8" s="71" t="n">
        <x:f>27-COUNT('Drivers'!H28:H54)</x:f>
        <x:v>27</x:v>
      </x:c>
      <x:c r="I8" s="71" t="n">
        <x:f>27-COUNT('Drivers'!I28:I54)</x:f>
        <x:v>27</x:v>
      </x:c>
      <x:c r="J8" s="71" t="n">
        <x:f>27-COUNT('Drivers'!J28:J54)</x:f>
        <x:v>27</x:v>
      </x:c>
      <x:c r="K8" s="71" t="n">
        <x:f>27-COUNT('Drivers'!K28:K54)</x:f>
        <x:v>27</x:v>
      </x:c>
      <x:c r="L8" s="71" t="n">
        <x:f>27-COUNT('Drivers'!L28:L54)</x:f>
        <x:v>27</x:v>
      </x:c>
      <x:c r="M8" s="71" t="n">
        <x:f>27-COUNT('Drivers'!M28:M54)</x:f>
        <x:v>27</x:v>
      </x:c>
      <x:c r="N8" s="71" t="n">
        <x:f>27-COUNT('Drivers'!N28:N54)</x:f>
        <x:v>27</x:v>
      </x:c>
      <x:c r="O8" s="71" t="n">
        <x:f>27-COUNT('Drivers'!O28:O54)</x:f>
        <x:v>27</x:v>
      </x:c>
      <x:c r="P8" s="71" t="n">
        <x:f>27-COUNT('Drivers'!P28:P54)</x:f>
        <x:v>27</x:v>
      </x:c>
      <x:c r="Q8" s="71" t="n">
        <x:f>27-COUNT('Drivers'!Q28:Q54)</x:f>
        <x:v>27</x:v>
      </x:c>
      <x:c r="R8" s="42"/>
      <x:c r="S8" s="42"/>
      <x:c r="T8" s="42"/>
    </x:row>
    <x:row r="9" ht="22" customHeight="1">
      <x:c r="A9" s="42"/>
      <x:c r="B9" s="42"/>
      <x:c r="C9" s="42" t="str">
        <x:v>Occupancy outside 0%–100%</x:v>
      </x:c>
      <x:c r="D9" s="42"/>
      <x:c r="E9" s="42"/>
      <x:c r="F9" s="71" t="str">
        <x:f>IF(ISNUMBER('Drivers'!F31),IF(AND('Drivers'!F31&gt;=0,'Drivers'!F31&lt;=1),0,1),"")</x:f>
      </x:c>
      <x:c r="G9" s="71" t="str">
        <x:f>IF(ISNUMBER('Drivers'!G31),IF(AND('Drivers'!G31&gt;=0,'Drivers'!G31&lt;=1),0,1),"")</x:f>
      </x:c>
      <x:c r="H9" s="71" t="str">
        <x:f>IF(ISNUMBER('Drivers'!H31),IF(AND('Drivers'!H31&gt;=0,'Drivers'!H31&lt;=1),0,1),"")</x:f>
      </x:c>
      <x:c r="I9" s="71" t="str">
        <x:f>IF(ISNUMBER('Drivers'!I31),IF(AND('Drivers'!I31&gt;=0,'Drivers'!I31&lt;=1),0,1),"")</x:f>
      </x:c>
      <x:c r="J9" s="71" t="str">
        <x:f>IF(ISNUMBER('Drivers'!J31),IF(AND('Drivers'!J31&gt;=0,'Drivers'!J31&lt;=1),0,1),"")</x:f>
      </x:c>
      <x:c r="K9" s="71" t="str">
        <x:f>IF(ISNUMBER('Drivers'!K31),IF(AND('Drivers'!K31&gt;=0,'Drivers'!K31&lt;=1),0,1),"")</x:f>
      </x:c>
      <x:c r="L9" s="71" t="str">
        <x:f>IF(ISNUMBER('Drivers'!L31),IF(AND('Drivers'!L31&gt;=0,'Drivers'!L31&lt;=1),0,1),"")</x:f>
      </x:c>
      <x:c r="M9" s="71" t="str">
        <x:f>IF(ISNUMBER('Drivers'!M31),IF(AND('Drivers'!M31&gt;=0,'Drivers'!M31&lt;=1),0,1),"")</x:f>
      </x:c>
      <x:c r="N9" s="71" t="str">
        <x:f>IF(ISNUMBER('Drivers'!N31),IF(AND('Drivers'!N31&gt;=0,'Drivers'!N31&lt;=1),0,1),"")</x:f>
      </x:c>
      <x:c r="O9" s="71" t="str">
        <x:f>IF(ISNUMBER('Drivers'!O31),IF(AND('Drivers'!O31&gt;=0,'Drivers'!O31&lt;=1),0,1),"")</x:f>
      </x:c>
      <x:c r="P9" s="71" t="str">
        <x:f>IF(ISNUMBER('Drivers'!P31),IF(AND('Drivers'!P31&gt;=0,'Drivers'!P31&lt;=1),0,1),"")</x:f>
      </x:c>
      <x:c r="Q9" s="71" t="str">
        <x:f>IF(ISNUMBER('Drivers'!Q31),IF(AND('Drivers'!Q31&gt;=0,'Drivers'!Q31&lt;=1),0,1),"")</x:f>
      </x:c>
      <x:c r="R9" s="42"/>
      <x:c r="S9" s="42"/>
      <x:c r="T9" s="42"/>
    </x:row>
    <x:row r="10" ht="22" customHeight="1">
      <x:c r="A10" s="42"/>
      <x:c r="B10" s="42"/>
      <x:c r="C10" s="42" t="str">
        <x:v>Available nights exceed month days</x:v>
      </x:c>
      <x:c r="D10" s="42"/>
      <x:c r="E10" s="42"/>
      <x:c r="F10" s="71" t="str">
        <x:f>IF(ISNUMBER('Drivers'!F29),IF('Drivers'!F29&gt;DAY(EOMONTH(F$6,0)),1,0),"")</x:f>
      </x:c>
      <x:c r="G10" s="71" t="str">
        <x:f>IF(ISNUMBER('Drivers'!G29),IF('Drivers'!G29&gt;DAY(EOMONTH(G$6,0)),1,0),"")</x:f>
      </x:c>
      <x:c r="H10" s="71" t="str">
        <x:f>IF(ISNUMBER('Drivers'!H29),IF('Drivers'!H29&gt;DAY(EOMONTH(H$6,0)),1,0),"")</x:f>
      </x:c>
      <x:c r="I10" s="71" t="str">
        <x:f>IF(ISNUMBER('Drivers'!I29),IF('Drivers'!I29&gt;DAY(EOMONTH(I$6,0)),1,0),"")</x:f>
      </x:c>
      <x:c r="J10" s="71" t="str">
        <x:f>IF(ISNUMBER('Drivers'!J29),IF('Drivers'!J29&gt;DAY(EOMONTH(J$6,0)),1,0),"")</x:f>
      </x:c>
      <x:c r="K10" s="71" t="str">
        <x:f>IF(ISNUMBER('Drivers'!K29),IF('Drivers'!K29&gt;DAY(EOMONTH(K$6,0)),1,0),"")</x:f>
      </x:c>
      <x:c r="L10" s="71" t="str">
        <x:f>IF(ISNUMBER('Drivers'!L29),IF('Drivers'!L29&gt;DAY(EOMONTH(L$6,0)),1,0),"")</x:f>
      </x:c>
      <x:c r="M10" s="71" t="str">
        <x:f>IF(ISNUMBER('Drivers'!M29),IF('Drivers'!M29&gt;DAY(EOMONTH(M$6,0)),1,0),"")</x:f>
      </x:c>
      <x:c r="N10" s="71" t="str">
        <x:f>IF(ISNUMBER('Drivers'!N29),IF('Drivers'!N29&gt;DAY(EOMONTH(N$6,0)),1,0),"")</x:f>
      </x:c>
      <x:c r="O10" s="71" t="str">
        <x:f>IF(ISNUMBER('Drivers'!O29),IF('Drivers'!O29&gt;DAY(EOMONTH(O$6,0)),1,0),"")</x:f>
      </x:c>
      <x:c r="P10" s="71" t="str">
        <x:f>IF(ISNUMBER('Drivers'!P29),IF('Drivers'!P29&gt;DAY(EOMONTH(P$6,0)),1,0),"")</x:f>
      </x:c>
      <x:c r="Q10" s="71" t="str">
        <x:f>IF(ISNUMBER('Drivers'!Q29),IF('Drivers'!Q29&gt;DAY(EOMONTH(Q$6,0)),1,0),"")</x:f>
      </x:c>
      <x:c r="R10" s="42"/>
      <x:c r="S10" s="42"/>
      <x:c r="T10" s="42"/>
    </x:row>
    <x:row r="11" ht="22" customHeight="1">
      <x:c r="A11" s="42"/>
      <x:c r="B11" s="42"/>
      <x:c r="C11" s="42" t="str">
        <x:v>Stay length is zero or negative</x:v>
      </x:c>
      <x:c r="D11" s="42"/>
      <x:c r="E11" s="42"/>
      <x:c r="F11" s="71" t="str">
        <x:f>IF(ISNUMBER('Drivers'!F32),IF('Drivers'!F32&lt;=0,1,0),"")</x:f>
      </x:c>
      <x:c r="G11" s="71" t="str">
        <x:f>IF(ISNUMBER('Drivers'!G32),IF('Drivers'!G32&lt;=0,1,0),"")</x:f>
      </x:c>
      <x:c r="H11" s="71" t="str">
        <x:f>IF(ISNUMBER('Drivers'!H32),IF('Drivers'!H32&lt;=0,1,0),"")</x:f>
      </x:c>
      <x:c r="I11" s="71" t="str">
        <x:f>IF(ISNUMBER('Drivers'!I32),IF('Drivers'!I32&lt;=0,1,0),"")</x:f>
      </x:c>
      <x:c r="J11" s="71" t="str">
        <x:f>IF(ISNUMBER('Drivers'!J32),IF('Drivers'!J32&lt;=0,1,0),"")</x:f>
      </x:c>
      <x:c r="K11" s="71" t="str">
        <x:f>IF(ISNUMBER('Drivers'!K32),IF('Drivers'!K32&lt;=0,1,0),"")</x:f>
      </x:c>
      <x:c r="L11" s="71" t="str">
        <x:f>IF(ISNUMBER('Drivers'!L32),IF('Drivers'!L32&lt;=0,1,0),"")</x:f>
      </x:c>
      <x:c r="M11" s="71" t="str">
        <x:f>IF(ISNUMBER('Drivers'!M32),IF('Drivers'!M32&lt;=0,1,0),"")</x:f>
      </x:c>
      <x:c r="N11" s="71" t="str">
        <x:f>IF(ISNUMBER('Drivers'!N32),IF('Drivers'!N32&lt;=0,1,0),"")</x:f>
      </x:c>
      <x:c r="O11" s="71" t="str">
        <x:f>IF(ISNUMBER('Drivers'!O32),IF('Drivers'!O32&lt;=0,1,0),"")</x:f>
      </x:c>
      <x:c r="P11" s="71" t="str">
        <x:f>IF(ISNUMBER('Drivers'!P32),IF('Drivers'!P32&lt;=0,1,0),"")</x:f>
      </x:c>
      <x:c r="Q11" s="71" t="str">
        <x:f>IF(ISNUMBER('Drivers'!Q32),IF('Drivers'!Q32&lt;=0,1,0),"")</x:f>
      </x:c>
      <x:c r="R11" s="42"/>
      <x:c r="S11" s="42"/>
      <x:c r="T11" s="42"/>
    </x:row>
    <x:row r="12" ht="22" customHeight="1">
      <x:c r="A12" s="42"/>
      <x:c r="B12" s="42"/>
      <x:c r="C12" s="42" t="str">
        <x:v>Required source metadata missing</x:v>
      </x:c>
      <x:c r="D12" s="42"/>
      <x:c r="E12" s="42"/>
      <x:c r="F12" s="71" t="n">
        <x:f>IF('Drivers'!$D$5="",1,0)+IF('Drivers'!$D$15="",1,0)+IF('Drivers'!$D$16="",1,0)+IF('Drivers'!$D$17="",1,0)+IF('Drivers'!$D$20="",1,0)</x:f>
        <x:v>5</x:v>
      </x:c>
      <x:c r="G12" s="71" t="n">
        <x:f>IF('Drivers'!$D$5="",1,0)+IF('Drivers'!$D$15="",1,0)+IF('Drivers'!$D$16="",1,0)+IF('Drivers'!$D$17="",1,0)+IF('Drivers'!$D$20="",1,0)</x:f>
        <x:v>5</x:v>
      </x:c>
      <x:c r="H12" s="71" t="n">
        <x:f>IF('Drivers'!$D$5="",1,0)+IF('Drivers'!$D$15="",1,0)+IF('Drivers'!$D$16="",1,0)+IF('Drivers'!$D$17="",1,0)+IF('Drivers'!$D$20="",1,0)</x:f>
        <x:v>5</x:v>
      </x:c>
      <x:c r="I12" s="71" t="n">
        <x:f>IF('Drivers'!$D$5="",1,0)+IF('Drivers'!$D$15="",1,0)+IF('Drivers'!$D$16="",1,0)+IF('Drivers'!$D$17="",1,0)+IF('Drivers'!$D$20="",1,0)</x:f>
        <x:v>5</x:v>
      </x:c>
      <x:c r="J12" s="71" t="n">
        <x:f>IF('Drivers'!$D$5="",1,0)+IF('Drivers'!$D$15="",1,0)+IF('Drivers'!$D$16="",1,0)+IF('Drivers'!$D$17="",1,0)+IF('Drivers'!$D$20="",1,0)</x:f>
        <x:v>5</x:v>
      </x:c>
      <x:c r="K12" s="71" t="n">
        <x:f>IF('Drivers'!$D$5="",1,0)+IF('Drivers'!$D$15="",1,0)+IF('Drivers'!$D$16="",1,0)+IF('Drivers'!$D$17="",1,0)+IF('Drivers'!$D$20="",1,0)</x:f>
        <x:v>5</x:v>
      </x:c>
      <x:c r="L12" s="71" t="n">
        <x:f>IF('Drivers'!$D$5="",1,0)+IF('Drivers'!$D$15="",1,0)+IF('Drivers'!$D$16="",1,0)+IF('Drivers'!$D$17="",1,0)+IF('Drivers'!$D$20="",1,0)</x:f>
        <x:v>5</x:v>
      </x:c>
      <x:c r="M12" s="71" t="n">
        <x:f>IF('Drivers'!$D$5="",1,0)+IF('Drivers'!$D$15="",1,0)+IF('Drivers'!$D$16="",1,0)+IF('Drivers'!$D$17="",1,0)+IF('Drivers'!$D$20="",1,0)</x:f>
        <x:v>5</x:v>
      </x:c>
      <x:c r="N12" s="71" t="n">
        <x:f>IF('Drivers'!$D$5="",1,0)+IF('Drivers'!$D$15="",1,0)+IF('Drivers'!$D$16="",1,0)+IF('Drivers'!$D$17="",1,0)+IF('Drivers'!$D$20="",1,0)</x:f>
        <x:v>5</x:v>
      </x:c>
      <x:c r="O12" s="71" t="n">
        <x:f>IF('Drivers'!$D$5="",1,0)+IF('Drivers'!$D$15="",1,0)+IF('Drivers'!$D$16="",1,0)+IF('Drivers'!$D$17="",1,0)+IF('Drivers'!$D$20="",1,0)</x:f>
        <x:v>5</x:v>
      </x:c>
      <x:c r="P12" s="71" t="n">
        <x:f>IF('Drivers'!$D$5="",1,0)+IF('Drivers'!$D$15="",1,0)+IF('Drivers'!$D$16="",1,0)+IF('Drivers'!$D$17="",1,0)+IF('Drivers'!$D$20="",1,0)</x:f>
        <x:v>5</x:v>
      </x:c>
      <x:c r="Q12" s="71" t="n">
        <x:f>IF('Drivers'!$D$5="",1,0)+IF('Drivers'!$D$15="",1,0)+IF('Drivers'!$D$16="",1,0)+IF('Drivers'!$D$17="",1,0)+IF('Drivers'!$D$20="",1,0)</x:f>
        <x:v>5</x:v>
      </x:c>
      <x:c r="R12" s="42"/>
      <x:c r="S12" s="42"/>
      <x:c r="T12" s="42"/>
    </x:row>
    <x:row r="13" ht="22" customHeight="1">
      <x:c r="A13" s="42"/>
      <x:c r="B13" s="42"/>
      <x:c r="C13" s="42"/>
      <x:c r="D13" s="42"/>
      <x:c r="E13" s="42"/>
      <x:c r="F13" s="71"/>
      <x:c r="G13" s="71"/>
      <x:c r="H13" s="71"/>
      <x:c r="I13" s="71"/>
      <x:c r="J13" s="71"/>
      <x:c r="K13" s="71"/>
      <x:c r="L13" s="71"/>
      <x:c r="M13" s="71"/>
      <x:c r="N13" s="71"/>
      <x:c r="O13" s="71"/>
      <x:c r="P13" s="71"/>
      <x:c r="Q13" s="71"/>
      <x:c r="R13" s="42"/>
      <x:c r="S13" s="42"/>
      <x:c r="T13" s="42"/>
    </x:row>
    <x:row r="14" ht="22" customHeight="1">
      <x:c r="A14" s="42"/>
      <x:c r="B14" s="42"/>
      <x:c r="C14" s="42" t="str">
        <x:v>Revenue bridge difference</x:v>
      </x:c>
      <x:c r="D14" s="42"/>
      <x:c r="E14" s="42"/>
      <x:c r="F14" s="71" t="str">
        <x:f>IF(COUNT('STR Build'!F28:F30,'STR Build'!F32:F34)=6,'STR Build'!F34-SUM('STR Build'!F28:F30,'STR Build'!F32:F33),"")</x:f>
      </x:c>
      <x:c r="G14" s="71" t="str">
        <x:f>IF(COUNT('STR Build'!G28:G30,'STR Build'!G32:G34)=6,'STR Build'!G34-SUM('STR Build'!G28:G30,'STR Build'!G32:G33),"")</x:f>
      </x:c>
      <x:c r="H14" s="71" t="str">
        <x:f>IF(COUNT('STR Build'!H28:H30,'STR Build'!H32:H34)=6,'STR Build'!H34-SUM('STR Build'!H28:H30,'STR Build'!H32:H33),"")</x:f>
      </x:c>
      <x:c r="I14" s="71" t="str">
        <x:f>IF(COUNT('STR Build'!I28:I30,'STR Build'!I32:I34)=6,'STR Build'!I34-SUM('STR Build'!I28:I30,'STR Build'!I32:I33),"")</x:f>
      </x:c>
      <x:c r="J14" s="71" t="str">
        <x:f>IF(COUNT('STR Build'!J28:J30,'STR Build'!J32:J34)=6,'STR Build'!J34-SUM('STR Build'!J28:J30,'STR Build'!J32:J33),"")</x:f>
      </x:c>
      <x:c r="K14" s="71" t="str">
        <x:f>IF(COUNT('STR Build'!K28:K30,'STR Build'!K32:K34)=6,'STR Build'!K34-SUM('STR Build'!K28:K30,'STR Build'!K32:K33),"")</x:f>
      </x:c>
      <x:c r="L14" s="71" t="str">
        <x:f>IF(COUNT('STR Build'!L28:L30,'STR Build'!L32:L34)=6,'STR Build'!L34-SUM('STR Build'!L28:L30,'STR Build'!L32:L33),"")</x:f>
      </x:c>
      <x:c r="M14" s="71" t="str">
        <x:f>IF(COUNT('STR Build'!M28:M30,'STR Build'!M32:M34)=6,'STR Build'!M34-SUM('STR Build'!M28:M30,'STR Build'!M32:M33),"")</x:f>
      </x:c>
      <x:c r="N14" s="71" t="str">
        <x:f>IF(COUNT('STR Build'!N28:N30,'STR Build'!N32:N34)=6,'STR Build'!N34-SUM('STR Build'!N28:N30,'STR Build'!N32:N33),"")</x:f>
      </x:c>
      <x:c r="O14" s="71" t="str">
        <x:f>IF(COUNT('STR Build'!O28:O30,'STR Build'!O32:O34)=6,'STR Build'!O34-SUM('STR Build'!O28:O30,'STR Build'!O32:O33),"")</x:f>
      </x:c>
      <x:c r="P14" s="71" t="str">
        <x:f>IF(COUNT('STR Build'!P28:P30,'STR Build'!P32:P34)=6,'STR Build'!P34-SUM('STR Build'!P28:P30,'STR Build'!P32:P33),"")</x:f>
      </x:c>
      <x:c r="Q14" s="71" t="str">
        <x:f>IF(COUNT('STR Build'!Q28:Q30,'STR Build'!Q32:Q34)=6,'STR Build'!Q34-SUM('STR Build'!Q28:Q30,'STR Build'!Q32:Q33),"")</x:f>
      </x:c>
      <x:c r="R14" s="42"/>
      <x:c r="S14" s="42"/>
      <x:c r="T14" s="42"/>
    </x:row>
    <x:row r="15" ht="22" customHeight="1">
      <x:c r="A15" s="42"/>
      <x:c r="B15" s="42"/>
      <x:c r="C15" s="42" t="str">
        <x:v>NOI bridge difference</x:v>
      </x:c>
      <x:c r="D15" s="42"/>
      <x:c r="E15" s="42"/>
      <x:c r="F15" s="71" t="str">
        <x:f>IF(COUNT('STR Build'!F34,'STR Build'!F50,'STR Build'!F52)=3,'STR Build'!F52-('STR Build'!F34-'STR Build'!F50),"")</x:f>
      </x:c>
      <x:c r="G15" s="71" t="str">
        <x:f>IF(COUNT('STR Build'!G34,'STR Build'!G50,'STR Build'!G52)=3,'STR Build'!G52-('STR Build'!G34-'STR Build'!G50),"")</x:f>
      </x:c>
      <x:c r="H15" s="71" t="str">
        <x:f>IF(COUNT('STR Build'!H34,'STR Build'!H50,'STR Build'!H52)=3,'STR Build'!H52-('STR Build'!H34-'STR Build'!H50),"")</x:f>
      </x:c>
      <x:c r="I15" s="71" t="str">
        <x:f>IF(COUNT('STR Build'!I34,'STR Build'!I50,'STR Build'!I52)=3,'STR Build'!I52-('STR Build'!I34-'STR Build'!I50),"")</x:f>
      </x:c>
      <x:c r="J15" s="71" t="str">
        <x:f>IF(COUNT('STR Build'!J34,'STR Build'!J50,'STR Build'!J52)=3,'STR Build'!J52-('STR Build'!J34-'STR Build'!J50),"")</x:f>
      </x:c>
      <x:c r="K15" s="71" t="str">
        <x:f>IF(COUNT('STR Build'!K34,'STR Build'!K50,'STR Build'!K52)=3,'STR Build'!K52-('STR Build'!K34-'STR Build'!K50),"")</x:f>
      </x:c>
      <x:c r="L15" s="71" t="str">
        <x:f>IF(COUNT('STR Build'!L34,'STR Build'!L50,'STR Build'!L52)=3,'STR Build'!L52-('STR Build'!L34-'STR Build'!L50),"")</x:f>
      </x:c>
      <x:c r="M15" s="71" t="str">
        <x:f>IF(COUNT('STR Build'!M34,'STR Build'!M50,'STR Build'!M52)=3,'STR Build'!M52-('STR Build'!M34-'STR Build'!M50),"")</x:f>
      </x:c>
      <x:c r="N15" s="71" t="str">
        <x:f>IF(COUNT('STR Build'!N34,'STR Build'!N50,'STR Build'!N52)=3,'STR Build'!N52-('STR Build'!N34-'STR Build'!N50),"")</x:f>
      </x:c>
      <x:c r="O15" s="71" t="str">
        <x:f>IF(COUNT('STR Build'!O34,'STR Build'!O50,'STR Build'!O52)=3,'STR Build'!O52-('STR Build'!O34-'STR Build'!O50),"")</x:f>
      </x:c>
      <x:c r="P15" s="71" t="str">
        <x:f>IF(COUNT('STR Build'!P34,'STR Build'!P50,'STR Build'!P52)=3,'STR Build'!P52-('STR Build'!P34-'STR Build'!P50),"")</x:f>
      </x:c>
      <x:c r="Q15" s="71" t="str">
        <x:f>IF(COUNT('STR Build'!Q34,'STR Build'!Q50,'STR Build'!Q52)=3,'STR Build'!Q52-('STR Build'!Q34-'STR Build'!Q50),"")</x:f>
      </x:c>
      <x:c r="R15" s="42"/>
      <x:c r="S15" s="42"/>
      <x:c r="T15" s="42"/>
    </x:row>
    <x:row r="16" ht="22" customHeight="1">
      <x:c r="A16" s="42"/>
      <x:c r="B16" s="42"/>
      <x:c r="C16" s="42" t="str">
        <x:v>Cash-flow bridge difference</x:v>
      </x:c>
      <x:c r="D16" s="42"/>
      <x:c r="E16" s="42"/>
      <x:c r="F16" s="71" t="str">
        <x:f>IF(COUNT('STR Build'!F52,'STR Build'!F55:F59,'STR Build'!F61)=7,'STR Build'!F61-('STR Build'!F52-SUM('STR Build'!F55:F59)),"")</x:f>
      </x:c>
      <x:c r="G16" s="71" t="str">
        <x:f>IF(COUNT('STR Build'!G52,'STR Build'!G55:G59,'STR Build'!G61)=7,'STR Build'!G61-('STR Build'!G52-SUM('STR Build'!G55:G59)),"")</x:f>
      </x:c>
      <x:c r="H16" s="71" t="str">
        <x:f>IF(COUNT('STR Build'!H52,'STR Build'!H55:H59,'STR Build'!H61)=7,'STR Build'!H61-('STR Build'!H52-SUM('STR Build'!H55:H59)),"")</x:f>
      </x:c>
      <x:c r="I16" s="71" t="str">
        <x:f>IF(COUNT('STR Build'!I52,'STR Build'!I55:I59,'STR Build'!I61)=7,'STR Build'!I61-('STR Build'!I52-SUM('STR Build'!I55:I59)),"")</x:f>
      </x:c>
      <x:c r="J16" s="71" t="str">
        <x:f>IF(COUNT('STR Build'!J52,'STR Build'!J55:J59,'STR Build'!J61)=7,'STR Build'!J61-('STR Build'!J52-SUM('STR Build'!J55:J59)),"")</x:f>
      </x:c>
      <x:c r="K16" s="71" t="str">
        <x:f>IF(COUNT('STR Build'!K52,'STR Build'!K55:K59,'STR Build'!K61)=7,'STR Build'!K61-('STR Build'!K52-SUM('STR Build'!K55:K59)),"")</x:f>
      </x:c>
      <x:c r="L16" s="71" t="str">
        <x:f>IF(COUNT('STR Build'!L52,'STR Build'!L55:L59,'STR Build'!L61)=7,'STR Build'!L61-('STR Build'!L52-SUM('STR Build'!L55:L59)),"")</x:f>
      </x:c>
      <x:c r="M16" s="71" t="str">
        <x:f>IF(COUNT('STR Build'!M52,'STR Build'!M55:M59,'STR Build'!M61)=7,'STR Build'!M61-('STR Build'!M52-SUM('STR Build'!M55:M59)),"")</x:f>
      </x:c>
      <x:c r="N16" s="71" t="str">
        <x:f>IF(COUNT('STR Build'!N52,'STR Build'!N55:N59,'STR Build'!N61)=7,'STR Build'!N61-('STR Build'!N52-SUM('STR Build'!N55:N59)),"")</x:f>
      </x:c>
      <x:c r="O16" s="71" t="str">
        <x:f>IF(COUNT('STR Build'!O52,'STR Build'!O55:O59,'STR Build'!O61)=7,'STR Build'!O61-('STR Build'!O52-SUM('STR Build'!O55:O59)),"")</x:f>
      </x:c>
      <x:c r="P16" s="71" t="str">
        <x:f>IF(COUNT('STR Build'!P52,'STR Build'!P55:P59,'STR Build'!P61)=7,'STR Build'!P61-('STR Build'!P52-SUM('STR Build'!P55:P59)),"")</x:f>
      </x:c>
      <x:c r="Q16" s="71" t="str">
        <x:f>IF(COUNT('STR Build'!Q52,'STR Build'!Q55:Q59,'STR Build'!Q61)=7,'STR Build'!Q61-('STR Build'!Q52-SUM('STR Build'!Q55:Q59)),"")</x:f>
      </x:c>
      <x:c r="R16" s="42"/>
      <x:c r="S16" s="42"/>
      <x:c r="T16" s="42"/>
    </x:row>
    <x:row r="17" ht="22" customHeight="1">
      <x:c r="A17" s="42"/>
      <x:c r="B17" s="42"/>
      <x:c r="C17" s="42"/>
      <x:c r="D17" s="42"/>
      <x:c r="E17" s="42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42"/>
      <x:c r="S17" s="42"/>
      <x:c r="T17" s="42"/>
    </x:row>
    <x:row r="18" ht="22" customHeight="1">
      <x:c r="A18" s="42"/>
      <x:c r="B18" s="42"/>
      <x:c r="C18" s="42" t="str">
        <x:v>Provisional GL mappings remaining</x:v>
      </x:c>
      <x:c r="D18" s="42"/>
      <x:c r="E18" s="42"/>
      <x:c r="F18" s="71" t="n">
        <x:f>COUNTBLANK('GL Mapping'!I7:I28)</x:f>
        <x:v>22</x:v>
      </x:c>
      <x:c r="G18" s="71" t="n">
        <x:f>COUNTBLANK('GL Mapping'!I7:I28)</x:f>
        <x:v>22</x:v>
      </x:c>
      <x:c r="H18" s="71" t="n">
        <x:f>COUNTBLANK('GL Mapping'!I7:I28)</x:f>
        <x:v>22</x:v>
      </x:c>
      <x:c r="I18" s="71" t="n">
        <x:f>COUNTBLANK('GL Mapping'!I7:I28)</x:f>
        <x:v>22</x:v>
      </x:c>
      <x:c r="J18" s="71" t="n">
        <x:f>COUNTBLANK('GL Mapping'!I7:I28)</x:f>
        <x:v>22</x:v>
      </x:c>
      <x:c r="K18" s="71" t="n">
        <x:f>COUNTBLANK('GL Mapping'!I7:I28)</x:f>
        <x:v>22</x:v>
      </x:c>
      <x:c r="L18" s="71" t="n">
        <x:f>COUNTBLANK('GL Mapping'!I7:I28)</x:f>
        <x:v>22</x:v>
      </x:c>
      <x:c r="M18" s="71" t="n">
        <x:f>COUNTBLANK('GL Mapping'!I7:I28)</x:f>
        <x:v>22</x:v>
      </x:c>
      <x:c r="N18" s="71" t="n">
        <x:f>COUNTBLANK('GL Mapping'!I7:I28)</x:f>
        <x:v>22</x:v>
      </x:c>
      <x:c r="O18" s="71" t="n">
        <x:f>COUNTBLANK('GL Mapping'!I7:I28)</x:f>
        <x:v>22</x:v>
      </x:c>
      <x:c r="P18" s="71" t="n">
        <x:f>COUNTBLANK('GL Mapping'!I7:I28)</x:f>
        <x:v>22</x:v>
      </x:c>
      <x:c r="Q18" s="71" t="n">
        <x:f>COUNTBLANK('GL Mapping'!I7:I28)</x:f>
        <x:v>22</x:v>
      </x:c>
      <x:c r="R18" s="42"/>
      <x:c r="S18" s="42"/>
      <x:c r="T18" s="42"/>
    </x:row>
    <x:row r="19" ht="22" customHeight="1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</x:row>
    <x:row r="20" ht="22" customHeight="1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</x:row>
    <x:row r="21" ht="22" customHeight="1">
      <x:c r="A21" s="42"/>
      <x:c r="B21" s="42"/>
      <x:c r="C21" s="42" t="str">
        <x:v>Empty financial checks mean the required inputs are not yet populated.</x:v>
      </x:c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</x:row>
    <x:row r="22" ht="22" customHeight="1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</x:row>
    <x:row r="23" ht="22" customHeight="1">
      <x:c r="A23" s="42"/>
      <x:c r="B23" s="42"/>
      <x:c r="C23" s="42" t="str">
        <x:v>Row roles: Drivers = reviewed inputs; source tabs = source evidence; Build = formulas; Checks = controls.</x:v>
      </x:c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</x:row>
    <x:row r="24" ht="22" customHeight="1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</x:row>
    <x:row r="25" ht="22" customHeight="1">
      <x:c r="A25" s="42"/>
      <x:c r="B25" s="42"/>
      <x:c r="C25" s="42" t="str">
        <x:v>Formula replacement is not an override workflow. Edit dated Drivers and document the reason and owner.</x:v>
      </x:c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</x:row>
    <x:row r="26" ht="22" customHeight="1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</x:row>
    <x:row r="27" ht="22" customHeight="1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</x:row>
    <x:row r="28" ht="22" customHeight="1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</x:row>
    <x:row r="29" ht="22" customHeight="1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</x:row>
    <x:row r="30" ht="22" customHeight="1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</x:row>
    <x:row r="31" ht="22" customHeight="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</x:row>
    <x:row r="32" ht="22" customHeight="1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</x:row>
    <x:row r="33" ht="22" customHeight="1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</x:row>
    <x:row r="34" ht="22" customHeight="1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</x:row>
    <x:row r="35" ht="22" customHeight="1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</x:row>
    <x:row r="36" ht="22" customHeight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</x:row>
    <x:row r="37" ht="22" customHeight="1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</x:row>
    <x:row r="38" ht="22" customHeight="1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</x:row>
    <x:row r="39" ht="22" customHeight="1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</x:row>
    <x:row r="40" ht="22" customHeight="1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</x:row>
    <x:row r="41" ht="22" customHeight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</x:row>
    <x:row r="42" ht="22" customHeight="1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</x:row>
    <x:row r="43" ht="22" customHeight="1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</x:row>
    <x:row r="44" ht="22" customHeight="1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</x:row>
    <x:row r="45" ht="22" customHeight="1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</x:row>
    <x:row r="46" ht="22" customHeight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</x:row>
    <x:row r="47" ht="22" customHeight="1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</x:row>
    <x:row r="48" ht="22" customHeight="1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</x:row>
    <x:row r="49" ht="22" customHeight="1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</x:row>
    <x:row r="50" ht="22" customHeight="1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</x:row>
    <x:row r="51" ht="22" customHeight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</x:row>
    <x:row r="52" ht="22" customHeight="1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</x:row>
    <x:row r="53" ht="22" customHeight="1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</x:row>
    <x:row r="54" ht="22" customHeight="1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</x:row>
    <x:row r="55" ht="22" customHeight="1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</x:row>
    <x:row r="56" ht="22" customHeight="1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</x:row>
    <x:row r="57" ht="22" customHeight="1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</x:row>
    <x:row r="58" ht="22" customHeight="1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</x:row>
    <x:row r="59" ht="22" customHeight="1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</x:row>
    <x:row r="60" ht="22" customHeight="1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</x:row>
    <x:row r="61" ht="22" customHeight="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</x:row>
    <x:row r="62" ht="22" customHeight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</x:row>
    <x:row r="63" ht="22" customHeight="1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</x:row>
    <x:row r="64" ht="22" customHeight="1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</x:row>
    <x:row r="65" ht="22" customHeight="1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</x:row>
    <x:row r="66" ht="22" customHeight="1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</x:row>
    <x:row r="67" ht="22" customHeight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</x:row>
    <x:row r="68" ht="22" customHeight="1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</x:row>
    <x:row r="69" ht="22" customHeight="1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</x:row>
    <x:row r="70" ht="22" customHeight="1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</x:row>
    <x:row r="71" ht="22" customHeight="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</x:row>
    <x:row r="72" ht="22" customHeight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</x:row>
    <x:row r="73" ht="22" customHeight="1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</x:row>
    <x:row r="74" ht="22" customHeight="1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</x:row>
    <x:row r="75" ht="22" customHeight="1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</x:row>
    <x:row r="76" ht="22" customHeight="1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</x:row>
    <x:row r="77" ht="22" customHeight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</x:row>
    <x:row r="78" ht="22" customHeight="1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</x:row>
    <x:row r="79" ht="22" customHeight="1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</x:row>
    <x:row r="80" ht="22" customHeight="1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</x:row>
    <x:row r="81" ht="22" customHeight="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</x:row>
    <x:row r="82" ht="22" customHeight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</x:row>
    <x:row r="83" ht="22" customHeight="1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</x:row>
    <x:row r="84" ht="22" customHeight="1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</x:row>
    <x:row r="85" ht="22" customHeight="1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</x:row>
    <x:row r="86" ht="22" customHeight="1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</x:row>
    <x:row r="87" ht="22" customHeight="1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</x:row>
    <x:row r="88" ht="22" customHeight="1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</x:row>
    <x:row r="89" ht="22" customHeight="1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</x:row>
    <x:row r="90" ht="22" customHeight="1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</x:row>
  </x:sheetData>
  <x:conditionalFormatting sqref="F8:Q18">
    <x:cfRule type="cellIs" dxfId="0" priority="1" operator="notEqual">
      <x:formula>0</x:formula>
    </x:cfRule>
  </x:conditionalFormatting>
  <x:pageMargins left="0.7" right="0.7" top="0.75" bottom="0.75" header="0.3" footer="0.3"/>
</x:worksheet>
</file>